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Nithya-\Downloads\"/>
    </mc:Choice>
  </mc:AlternateContent>
  <xr:revisionPtr revIDLastSave="0" documentId="13_ncr:1_{90FBE273-C578-463F-BF25-9108B0FD4A1D}" xr6:coauthVersionLast="47" xr6:coauthVersionMax="47" xr10:uidLastSave="{00000000-0000-0000-0000-000000000000}"/>
  <bookViews>
    <workbookView xWindow="-108" yWindow="-108" windowWidth="23256" windowHeight="13176" activeTab="5" xr2:uid="{2BF201D8-6676-403C-80F9-35B936D3EB1E}"/>
  </bookViews>
  <sheets>
    <sheet name="PT1" sheetId="4" r:id="rId1"/>
    <sheet name="PT2" sheetId="6" r:id="rId2"/>
    <sheet name="TRANSCATIONS" sheetId="2" r:id="rId3"/>
    <sheet name="MAP" sheetId="3" r:id="rId4"/>
    <sheet name="JUNE - PRESENT" sheetId="9" r:id="rId5"/>
    <sheet name="DASHBORAD" sheetId="5" r:id="rId6"/>
  </sheets>
  <definedNames>
    <definedName name="_xlchart.v1.0" hidden="1">'PT2'!$Q$4:$R$11</definedName>
    <definedName name="_xlchart.v1.1" hidden="1">'PT2'!$S$4:$S$11</definedName>
    <definedName name="_xlchart.v1.2" hidden="1">'PT2'!$W$8</definedName>
    <definedName name="_xlchart.v1.3" hidden="1">'PT2'!$G$15:$G$21</definedName>
    <definedName name="_xlchart.v1.4" hidden="1">'PT2'!$H$15:$H$21</definedName>
    <definedName name="_xlchart.v1.5" hidden="1">'PT2'!$K$17</definedName>
    <definedName name="ExternalData_1" localSheetId="4" hidden="1">'JUNE - PRESENT'!$A$1:$I$399</definedName>
    <definedName name="ExternalData_1" localSheetId="3" hidden="1">MAP!$A$1:$C$12</definedName>
    <definedName name="ExternalData_1" localSheetId="2" hidden="1">TRANSCATIONS!$A$1:$I$350</definedName>
    <definedName name="Slicer_Category">#N/A</definedName>
    <definedName name="Slicer_Months__D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V12" i="6" l="1"/>
  <c r="R15" i="6"/>
  <c r="S1" i="6" s="1"/>
  <c r="N34" i="5"/>
  <c r="N35" i="5"/>
  <c r="N36" i="5"/>
  <c r="N37" i="5"/>
  <c r="N3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8ADDD9-5984-4F78-ADAE-3071E9F5ADCA}" keepAlive="1" name="Query - DATA VALIDATION" description="Connection to the 'DATA VALIDATION' query in the workbook." type="5" refreshedVersion="8" background="1" saveData="1">
    <dbPr connection="Provider=Microsoft.Mashup.OleDb.1;Data Source=$Workbook$;Location=&quot;DATA VALIDATION&quot;;Extended Properties=&quot;&quot;" command="SELECT * FROM [DATA VALIDATION]"/>
  </connection>
  <connection id="2" xr16:uid="{68335F10-A0AD-41F3-BC38-86471F7B2159}" keepAlive="1" name="Query - JUNE - PRESENT" description="Connection to the 'JUNE - PRESENT' query in the workbook." type="5" refreshedVersion="8" background="1" saveData="1">
    <dbPr connection="Provider=Microsoft.Mashup.OleDb.1;Data Source=$Workbook$;Location=&quot;JUNE - PRESENT&quot;;Extended Properties=&quot;&quot;" command="SELECT * FROM [JUNE - PRESENT]"/>
  </connection>
  <connection id="3" xr16:uid="{2A6A0DB0-8308-4B2A-90E5-ACCF185E1F04}" keepAlive="1" name="Query - TRANSCATIONS" description="Connection to the 'TRANSCATIONS' query in the workbook." type="5" refreshedVersion="8" background="1" saveData="1">
    <dbPr connection="Provider=Microsoft.Mashup.OleDb.1;Data Source=$Workbook$;Location=TRANSCATIONS;Extended Properties=&quot;&quot;" command="SELECT * FROM [TRANSCATIONS]"/>
  </connection>
  <connection id="4" xr16:uid="{60D7F08C-6162-48D0-BBCB-7C732EF885BC}" keepAlive="1" name="Query - TRANSCATIONS (2)" description="Connection to the 'TRANSCATIONS (2)' query in the workbook." type="5" refreshedVersion="8" background="1" saveData="1">
    <dbPr connection="Provider=Microsoft.Mashup.OleDb.1;Data Source=$Workbook$;Location=&quot;TRANSCATIONS (2)&quot;;Extended Properties=&quot;&quot;" command="SELECT * FROM [TRANSCATIONS (2)]"/>
  </connection>
</connections>
</file>

<file path=xl/sharedStrings.xml><?xml version="1.0" encoding="utf-8"?>
<sst xmlns="http://schemas.openxmlformats.org/spreadsheetml/2006/main" count="3936" uniqueCount="53">
  <si>
    <t>Account Type</t>
  </si>
  <si>
    <t>Date</t>
  </si>
  <si>
    <t>Description</t>
  </si>
  <si>
    <t>Debit</t>
  </si>
  <si>
    <t>Credit</t>
  </si>
  <si>
    <t>Amount</t>
  </si>
  <si>
    <t>Sub Category</t>
  </si>
  <si>
    <t>Category</t>
  </si>
  <si>
    <t>Category Type</t>
  </si>
  <si>
    <t>Checking</t>
  </si>
  <si>
    <t>Fuel</t>
  </si>
  <si>
    <t>Travel</t>
  </si>
  <si>
    <t>Expense</t>
  </si>
  <si>
    <t>Healthcare</t>
  </si>
  <si>
    <t>Health</t>
  </si>
  <si>
    <t>Entertainment</t>
  </si>
  <si>
    <t>Lifestyle</t>
  </si>
  <si>
    <t>Food Delivery</t>
  </si>
  <si>
    <t>Food</t>
  </si>
  <si>
    <t>Shopping</t>
  </si>
  <si>
    <t>Utilities</t>
  </si>
  <si>
    <t>Bills</t>
  </si>
  <si>
    <t>Freelance</t>
  </si>
  <si>
    <t>Income</t>
  </si>
  <si>
    <t>Cashback</t>
  </si>
  <si>
    <t>Salary</t>
  </si>
  <si>
    <t>Groceries</t>
  </si>
  <si>
    <t>Transport</t>
  </si>
  <si>
    <t>Grand Total</t>
  </si>
  <si>
    <t>Sum of Debit</t>
  </si>
  <si>
    <t>CATEGORY</t>
  </si>
  <si>
    <t>Jan</t>
  </si>
  <si>
    <t>Feb</t>
  </si>
  <si>
    <t>Mar</t>
  </si>
  <si>
    <t>Apr</t>
  </si>
  <si>
    <t>May</t>
  </si>
  <si>
    <t>Jun</t>
  </si>
  <si>
    <t>(All)</t>
  </si>
  <si>
    <t>DATE</t>
  </si>
  <si>
    <t>Sum of Amount</t>
  </si>
  <si>
    <t>Net</t>
  </si>
  <si>
    <t>Column Labels</t>
  </si>
  <si>
    <t>Months (Date)</t>
  </si>
  <si>
    <t>SUB CATEGORY</t>
  </si>
  <si>
    <t>Top 5 Sub Categories in Selected Period</t>
  </si>
  <si>
    <t>Amount (Credit - Debit)</t>
  </si>
  <si>
    <t>Jul</t>
  </si>
  <si>
    <t>Aug</t>
  </si>
  <si>
    <t>Sep</t>
  </si>
  <si>
    <t>Oct</t>
  </si>
  <si>
    <t>Nov</t>
  </si>
  <si>
    <t>Dec</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</si>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</sst>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C09]#,##0"/>
    <numFmt numFmtId="165" formatCode="[$$-2809]#,##0"/>
    <numFmt numFmtId="166" formatCode="&quot;₹&quot;\ #,##0"/>
  </numFmts>
  <fonts count="4" x14ac:knownFonts="1">
    <font>
      <sz val="11"/>
      <color theme="1"/>
      <name val="Calibri"/>
      <family val="2"/>
      <scheme val="minor"/>
    </font>
    <font>
      <sz val="12"/>
      <color theme="1"/>
      <name val="Calibri"/>
      <family val="2"/>
      <scheme val="minor"/>
    </font>
    <font>
      <b/>
      <sz val="12"/>
      <color rgb="FF652C8C"/>
      <name val="Calibri"/>
      <family val="2"/>
      <scheme val="minor"/>
    </font>
    <font>
      <b/>
      <sz val="14"/>
      <color rgb="FF652C8C"/>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3" fontId="0" fillId="0" borderId="0" xfId="0" applyNumberFormat="1"/>
    <xf numFmtId="0" fontId="1" fillId="0" borderId="0" xfId="0" applyFont="1" applyAlignment="1">
      <alignment horizontal="left"/>
    </xf>
    <xf numFmtId="165" fontId="1" fillId="0" borderId="0" xfId="0" applyNumberFormat="1" applyFont="1"/>
    <xf numFmtId="0" fontId="1" fillId="0" borderId="0" xfId="0" applyFont="1" applyAlignment="1">
      <alignment horizontal="left" indent="1"/>
    </xf>
    <xf numFmtId="165" fontId="1" fillId="0" borderId="0" xfId="0" applyNumberFormat="1" applyFont="1" applyAlignment="1">
      <alignment horizontal="left" indent="1"/>
    </xf>
    <xf numFmtId="0" fontId="2" fillId="0" borderId="0" xfId="0" applyFont="1"/>
    <xf numFmtId="166" fontId="0" fillId="0" borderId="0" xfId="0" applyNumberFormat="1"/>
    <xf numFmtId="0" fontId="3" fillId="0" borderId="0" xfId="0" applyFont="1" applyAlignment="1">
      <alignment horizontal="center"/>
    </xf>
    <xf numFmtId="0" fontId="2" fillId="0" borderId="0" xfId="0" applyFont="1" applyAlignment="1">
      <alignment horizontal="center"/>
    </xf>
    <xf numFmtId="0" fontId="0" fillId="0" borderId="0" xfId="0" applyNumberFormat="1"/>
  </cellXfs>
  <cellStyles count="1">
    <cellStyle name="Normal" xfId="0" builtinId="0"/>
  </cellStyles>
  <dxfs count="219">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164" formatCode="[$$-C09]#,##0"/>
    </dxf>
    <dxf>
      <numFmt numFmtId="166" formatCode="&quot;₹&quot;\ #,##0"/>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66" formatCode="&quot;₹&quot;\ #,##0"/>
    </dxf>
    <dxf>
      <numFmt numFmtId="164" formatCode="[$$-C09]#,##0"/>
    </dxf>
    <dxf>
      <numFmt numFmtId="166" formatCode="&quot;₹&quot;\ #,##0"/>
    </dxf>
    <dxf>
      <numFmt numFmtId="164" formatCode="[$$-C09]#,##0"/>
    </dxf>
  </dxfs>
  <tableStyles count="0" defaultTableStyle="TableStyleMedium2" defaultPivotStyle="PivotStyleLight16"/>
  <colors>
    <mruColors>
      <color rgb="FF652C8C"/>
      <color rgb="FFE9CFE9"/>
      <color rgb="FFFF99FF"/>
      <color rgb="FF8439BD"/>
      <color rgb="FFECDFF5"/>
      <color rgb="FFCB95B6"/>
      <color rgb="FFB767AA"/>
      <color rgb="FFA86ED4"/>
      <color rgb="FFB686DA"/>
      <color rgb="FF170A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[CASH FLOW &amp; EXPENSE INTELLIGENCE DASHBOARD.xlsx]PT2!PTDOUGHNUT</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 Spend</a:t>
            </a:r>
            <a:r>
              <a:rPr lang="en-US" baseline="0">
                <a:solidFill>
                  <a:schemeClr val="bg1"/>
                </a:solidFill>
              </a:rPr>
              <a:t> by Account</a:t>
            </a:r>
            <a:endParaRPr lang="en-US">
              <a:solidFill>
                <a:schemeClr val="bg1"/>
              </a:solidFill>
            </a:endParaRPr>
          </a:p>
        </c:rich>
      </c:tx>
      <c:layout>
        <c:manualLayout>
          <c:xMode val="edge"/>
          <c:yMode val="edge"/>
          <c:x val="0.22965104962379904"/>
          <c:y val="7.40741143923757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9800087661196478"/>
          <c:y val="0.1830285995454031"/>
          <c:w val="0.5579192648782475"/>
          <c:h val="0.72285808215837732"/>
        </c:manualLayout>
      </c:layout>
      <c:doughnutChart>
        <c:varyColors val="1"/>
        <c:ser>
          <c:idx val="0"/>
          <c:order val="0"/>
          <c:tx>
            <c:strRef>
              <c:f>'PT2'!$B$15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F7-4139-8D67-25E0CC0AEA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F7-4139-8D67-25E0CC0AEA4B}"/>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'PT2'!$A$16:$A$18</c:f>
              <c:strCache>
                <c:ptCount val="2"/>
                <c:pt idx="0">
                  <c:v>Checking</c:v>
                </c:pt>
                <c:pt idx="1">
                  <c:v>Credit</c:v>
                </c:pt>
              </c:strCache>
            </c:strRef>
          </c:cat>
          <c:val>
            <c:numRef>
              <c:f>'PT2'!$B$16:$B$18</c:f>
              <c:numCache>
                <c:formatCode>"₹"\ #,##0</c:formatCode>
                <c:ptCount val="2"/>
                <c:pt idx="0">
                  <c:v>1128697</c:v>
                </c:pt>
                <c:pt idx="1">
                  <c:v>1204863</c:v>
                </c:pt>
              </c:numCache>
            </c:numRef>
          </c:val>
          <c:extLst>
            <c:ext xmlns:c16="http://schemas.microsoft.com/office/drawing/2014/chart" uri="{C3380CC4-5D6E-409C-BE32-E72D297353CC}">
              <c16:uniqueId val="{00000004-DDF7-4139-8D67-25E0CC0AEA4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7030A0"/>
        </a:gs>
        <a:gs pos="100000">
          <a:srgbClr val="A86ED4"/>
        </a:gs>
        <a:gs pos="0">
          <a:srgbClr val="652C8C"/>
        </a:gs>
      </a:gsLst>
      <a:lin ang="162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[CASH FLOW &amp; EXPENSE INTELLIGENCE DASHBOARD.xlsx]PT2!PTEXPCLCHART</c:name>
    <c:fmtId val="6"/>
  </c:pivotSource>
  <c:chart>
    <c:title>
      <c:tx>
        <c:strRef>
          <c:f>'PT2'!$R$15</c:f>
          <c:strCache>
            <c:ptCount val="1"/>
            <c:pt idx="0">
              <c:v>All Expenses</c:v>
            </c:pt>
          </c:strCache>
        </c:strRef>
      </c:tx>
      <c:layout>
        <c:manualLayout>
          <c:xMode val="edge"/>
          <c:yMode val="edge"/>
          <c:x val="2.3283265408616791E-2"/>
          <c:y val="3.193686743660972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290627660674418E-2"/>
          <c:y val="0.15171153921105202"/>
          <c:w val="0.95541874467865118"/>
          <c:h val="0.62798077381112993"/>
        </c:manualLayout>
      </c:layout>
      <c:barChart>
        <c:barDir val="col"/>
        <c:grouping val="clustered"/>
        <c:varyColors val="0"/>
        <c:ser>
          <c:idx val="0"/>
          <c:order val="0"/>
          <c:tx>
            <c:strRef>
              <c:f>'PT2'!$R$15</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'PT2'!$R$15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'PT2'!$R$15</c:f>
              <c:numCache>
                <c:formatCode>#,##0</c:formatCode>
                <c:ptCount val="12"/>
                <c:pt idx="0">
                  <c:v>321192</c:v>
                </c:pt>
                <c:pt idx="1">
                  <c:v>117148</c:v>
                </c:pt>
                <c:pt idx="2">
                  <c:v>145135</c:v>
                </c:pt>
                <c:pt idx="3">
                  <c:v>147796</c:v>
                </c:pt>
                <c:pt idx="4">
                  <c:v>181895</c:v>
                </c:pt>
                <c:pt idx="5">
                  <c:v>196338</c:v>
                </c:pt>
                <c:pt idx="6">
                  <c:v>171026</c:v>
                </c:pt>
                <c:pt idx="7">
                  <c:v>154965</c:v>
                </c:pt>
                <c:pt idx="8">
                  <c:v>238215</c:v>
                </c:pt>
                <c:pt idx="9">
                  <c:v>223690</c:v>
                </c:pt>
                <c:pt idx="10">
                  <c:v>243828</c:v>
                </c:pt>
                <c:pt idx="11">
                  <c:v>192332</c:v>
                </c:pt>
              </c:numCache>
            </c:numRef>
          </c:val>
          <c:extLst>
            <c:ext xmlns:c16="http://schemas.microsoft.com/office/drawing/2014/chart" uri="{C3380CC4-5D6E-409C-BE32-E72D297353CC}">
              <c16:uniqueId val="{00000000-C157-4672-8E4C-5287B515F297}"/>
            </c:ext>
          </c:extLst>
        </c:ser>
        <c:dLbls>
          <c:dLblPos val="outEnd"/>
          <c:showLegendKey val="0"/>
          <c:showVal val="1"/>
          <c:showCatName val="0"/>
          <c:showSerName val="0"/>
          <c:showPercent val="0"/>
          <c:showBubbleSize val="0"/>
        </c:dLbls>
        <c:gapWidth val="50"/>
        <c:overlap val="-27"/>
        <c:axId val="1672940255"/>
        <c:axId val="1672940735"/>
      </c:barChart>
      <c:catAx>
        <c:axId val="167294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940735"/>
        <c:crosses val="autoZero"/>
        <c:auto val="1"/>
        <c:lblAlgn val="ctr"/>
        <c:lblOffset val="100"/>
        <c:noMultiLvlLbl val="0"/>
      </c:catAx>
      <c:valAx>
        <c:axId val="1672940735"/>
        <c:scaling>
          <c:orientation val="minMax"/>
        </c:scaling>
        <c:delete val="1"/>
        <c:axPos val="l"/>
        <c:numFmt formatCode="#,##0" sourceLinked="1"/>
        <c:majorTickMark val="none"/>
        <c:minorTickMark val="none"/>
        <c:tickLblPos val="nextTo"/>
        <c:crossAx val="167294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[CASH FLOW &amp; EXPENSE INTELLIGENCE DASHBOARD.xlsx]PT2!PTNETCOLCHART</c:name>
    <c:fmtId val="11"/>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NET</a:t>
            </a:r>
            <a:r>
              <a:rPr lang="en-US" sz="1200" b="1" baseline="0"/>
              <a:t> INCOME</a:t>
            </a:r>
            <a:endParaRPr lang="en-US" sz="1200" b="1"/>
          </a:p>
        </c:rich>
      </c:tx>
      <c:layout>
        <c:manualLayout>
          <c:xMode val="edge"/>
          <c:yMode val="edge"/>
          <c:x val="1.1295941803359169E-2"/>
          <c:y val="7.2634322895393955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B95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B95B6"/>
          </a:solidFill>
          <a:ln>
            <a:noFill/>
          </a:ln>
          <a:effectLst/>
        </c:spPr>
      </c:pivotFmt>
      <c:pivotFmt>
        <c:idx val="2"/>
        <c:spPr>
          <a:solidFill>
            <a:srgbClr val="CB95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B95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321429817184005E-2"/>
          <c:y val="0.22091256679824536"/>
          <c:w val="0.95488058372962192"/>
          <c:h val="0.75442684430729712"/>
        </c:manualLayout>
      </c:layout>
      <c:barChart>
        <c:barDir val="col"/>
        <c:grouping val="clustered"/>
        <c:varyColors val="0"/>
        <c:ser>
          <c:idx val="0"/>
          <c:order val="0"/>
          <c:tx>
            <c:strRef>
              <c:f>'PT2'!$H$42</c:f>
              <c:strCache>
                <c:ptCount val="1"/>
                <c:pt idx="0">
                  <c:v>Total</c:v>
                </c:pt>
              </c:strCache>
            </c:strRef>
          </c:tx>
          <c:spPr>
            <a:solidFill>
              <a:srgbClr val="CB95B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CB95B6"/>
                </a:solidFill>
                <a:prstDash val="sysDot"/>
              </a:ln>
              <a:effectLst/>
            </c:spPr>
            <c:trendlineType val="linear"/>
            <c:dispRSqr val="0"/>
            <c:dispEq val="0"/>
          </c:trendline>
          <c:cat>
            <c:strRef>
              <c:f>'PT2'!$G$43:$G$55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'PT2'!$H$43:$H$55</c:f>
              <c:numCache>
                <c:formatCode>#,##0</c:formatCode>
                <c:ptCount val="12"/>
                <c:pt idx="0">
                  <c:v>184029</c:v>
                </c:pt>
                <c:pt idx="1">
                  <c:v>240945</c:v>
                </c:pt>
                <c:pt idx="2">
                  <c:v>261370</c:v>
                </c:pt>
                <c:pt idx="3">
                  <c:v>171392</c:v>
                </c:pt>
                <c:pt idx="4">
                  <c:v>247697</c:v>
                </c:pt>
                <c:pt idx="5">
                  <c:v>33723</c:v>
                </c:pt>
                <c:pt idx="6">
                  <c:v>65117</c:v>
                </c:pt>
                <c:pt idx="7">
                  <c:v>190285</c:v>
                </c:pt>
                <c:pt idx="8">
                  <c:v>-99481</c:v>
                </c:pt>
                <c:pt idx="9">
                  <c:v>-37438</c:v>
                </c:pt>
                <c:pt idx="10">
                  <c:v>-123952</c:v>
                </c:pt>
                <c:pt idx="11">
                  <c:v>212345</c:v>
                </c:pt>
              </c:numCache>
            </c:numRef>
          </c:val>
          <c:extLst>
            <c:ext xmlns:c16="http://schemas.microsoft.com/office/drawing/2014/chart" uri="{C3380CC4-5D6E-409C-BE32-E72D297353CC}">
              <c16:uniqueId val="{00000001-2197-4E34-81CE-2F043467A55C}"/>
            </c:ext>
          </c:extLst>
        </c:ser>
        <c:dLbls>
          <c:dLblPos val="outEnd"/>
          <c:showLegendKey val="0"/>
          <c:showVal val="1"/>
          <c:showCatName val="0"/>
          <c:showSerName val="0"/>
          <c:showPercent val="0"/>
          <c:showBubbleSize val="0"/>
        </c:dLbls>
        <c:gapWidth val="50"/>
        <c:overlap val="-27"/>
        <c:axId val="2042134671"/>
        <c:axId val="2042135151"/>
      </c:barChart>
      <c:catAx>
        <c:axId val="204213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135151"/>
        <c:crosses val="autoZero"/>
        <c:auto val="1"/>
        <c:lblAlgn val="ctr"/>
        <c:lblOffset val="100"/>
        <c:noMultiLvlLbl val="0"/>
      </c:catAx>
      <c:valAx>
        <c:axId val="2042135151"/>
        <c:scaling>
          <c:orientation val="minMax"/>
        </c:scaling>
        <c:delete val="1"/>
        <c:axPos val="l"/>
        <c:numFmt formatCode="#,##0" sourceLinked="1"/>
        <c:majorTickMark val="none"/>
        <c:minorTickMark val="none"/>
        <c:tickLblPos val="nextTo"/>
        <c:crossAx val="204213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[CASH FLOW &amp; EXPENSE INTELLIGENCE DASHBOARD.xlsx]PT2!PTLINCHART</c:name>
    <c:fmtId val="13"/>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circle"/>
          <c:size val="7"/>
          <c:spPr>
            <a:solidFill>
              <a:srgbClr val="E9CFE9"/>
            </a:solidFill>
            <a:ln w="9525">
              <a:solidFill>
                <a:schemeClr val="accent4"/>
              </a:solidFill>
            </a:ln>
            <a:effectLst/>
          </c:spPr>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7"/>
          <c:spPr>
            <a:solidFill>
              <a:srgbClr val="E9CFE9"/>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'PT2'!$K$3:$K$4</c:f>
              <c:strCache>
                <c:ptCount val="1"/>
                <c:pt idx="0">
                  <c:v>Lifestyle</c:v>
                </c:pt>
              </c:strCache>
            </c:strRef>
          </c:tx>
          <c:spPr>
            <a:ln w="28575" cap="rnd">
              <a:solidFill>
                <a:schemeClr val="accent1"/>
              </a:solidFill>
              <a:round/>
            </a:ln>
            <a:effectLst/>
          </c:spPr>
          <c:marker>
            <c:symbol val="none"/>
          </c:marker>
          <c:cat>
            <c:strRef>
              <c:f>'PT2'!$J$5:$J$16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'PT2'!$K$5:$K$16</c:f>
              <c:numCache>
                <c:formatCode>#,##0</c:formatCode>
                <c:ptCount val="12"/>
                <c:pt idx="0">
                  <c:v>73295</c:v>
                </c:pt>
                <c:pt idx="1">
                  <c:v>22215</c:v>
                </c:pt>
                <c:pt idx="2">
                  <c:v>34736</c:v>
                </c:pt>
                <c:pt idx="3">
                  <c:v>31442</c:v>
                </c:pt>
                <c:pt idx="4">
                  <c:v>54020</c:v>
                </c:pt>
                <c:pt idx="5">
                  <c:v>46886</c:v>
                </c:pt>
                <c:pt idx="6">
                  <c:v>65054</c:v>
                </c:pt>
                <c:pt idx="7">
                  <c:v>29354</c:v>
                </c:pt>
                <c:pt idx="8">
                  <c:v>85298</c:v>
                </c:pt>
                <c:pt idx="9">
                  <c:v>97254</c:v>
                </c:pt>
                <c:pt idx="10">
                  <c:v>63422</c:v>
                </c:pt>
                <c:pt idx="11">
                  <c:v>45065</c:v>
                </c:pt>
              </c:numCache>
            </c:numRef>
          </c:val>
          <c:smooth val="0"/>
          <c:extLst>
            <c:ext xmlns:c16="http://schemas.microsoft.com/office/drawing/2014/chart" uri="{C3380CC4-5D6E-409C-BE32-E72D297353CC}">
              <c16:uniqueId val="{00000000-F5FE-4BAD-A8F5-CDD16221A053}"/>
            </c:ext>
          </c:extLst>
        </c:ser>
        <c:ser>
          <c:idx val="1"/>
          <c:order val="1"/>
          <c:tx>
            <c:strRef>
              <c:f>'PT2'!$L$3:$L$4</c:f>
              <c:strCache>
                <c:ptCount val="1"/>
                <c:pt idx="0">
                  <c:v>Travel</c:v>
                </c:pt>
              </c:strCache>
            </c:strRef>
          </c:tx>
          <c:spPr>
            <a:ln w="28575" cap="rnd">
              <a:solidFill>
                <a:schemeClr val="accent2"/>
              </a:solidFill>
              <a:round/>
            </a:ln>
            <a:effectLst/>
          </c:spPr>
          <c:marker>
            <c:symbol val="none"/>
          </c:marker>
          <c:cat>
            <c:strRef>
              <c:f>'PT2'!$J$5:$J$16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'PT2'!$L$5:$L$16</c:f>
              <c:numCache>
                <c:formatCode>#,##0</c:formatCode>
                <c:ptCount val="12"/>
                <c:pt idx="0">
                  <c:v>76647</c:v>
                </c:pt>
                <c:pt idx="1">
                  <c:v>34826</c:v>
                </c:pt>
                <c:pt idx="2">
                  <c:v>28978</c:v>
                </c:pt>
                <c:pt idx="3">
                  <c:v>25216</c:v>
                </c:pt>
                <c:pt idx="4">
                  <c:v>57350</c:v>
                </c:pt>
                <c:pt idx="5">
                  <c:v>41199</c:v>
                </c:pt>
                <c:pt idx="6">
                  <c:v>21800</c:v>
                </c:pt>
                <c:pt idx="7">
                  <c:v>57826</c:v>
                </c:pt>
                <c:pt idx="8">
                  <c:v>75185</c:v>
                </c:pt>
                <c:pt idx="9">
                  <c:v>34972</c:v>
                </c:pt>
                <c:pt idx="10">
                  <c:v>69519</c:v>
                </c:pt>
                <c:pt idx="11">
                  <c:v>57921</c:v>
                </c:pt>
              </c:numCache>
            </c:numRef>
          </c:val>
          <c:smooth val="0"/>
          <c:extLst>
            <c:ext xmlns:c16="http://schemas.microsoft.com/office/drawing/2014/chart" uri="{C3380CC4-5D6E-409C-BE32-E72D297353CC}">
              <c16:uniqueId val="{00000040-1539-4245-BE6C-8BC7C1940EA1}"/>
            </c:ext>
          </c:extLst>
        </c:ser>
        <c:ser>
          <c:idx val="2"/>
          <c:order val="2"/>
          <c:tx>
            <c:strRef>
              <c:f>'PT2'!$M$3:$M$4</c:f>
              <c:strCache>
                <c:ptCount val="1"/>
                <c:pt idx="0">
                  <c:v>Food</c:v>
                </c:pt>
              </c:strCache>
            </c:strRef>
          </c:tx>
          <c:spPr>
            <a:ln w="28575" cap="rnd">
              <a:solidFill>
                <a:schemeClr val="accent3"/>
              </a:solidFill>
              <a:round/>
            </a:ln>
            <a:effectLst/>
          </c:spPr>
          <c:marker>
            <c:symbol val="none"/>
          </c:marker>
          <c:cat>
            <c:strRef>
              <c:f>'PT2'!$J$5:$J$16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'PT2'!$M$5:$M$16</c:f>
              <c:numCache>
                <c:formatCode>#,##0</c:formatCode>
                <c:ptCount val="12"/>
                <c:pt idx="0">
                  <c:v>77426</c:v>
                </c:pt>
                <c:pt idx="1">
                  <c:v>22955</c:v>
                </c:pt>
                <c:pt idx="2">
                  <c:v>28776</c:v>
                </c:pt>
                <c:pt idx="3">
                  <c:v>52843</c:v>
                </c:pt>
                <c:pt idx="4">
                  <c:v>27409</c:v>
                </c:pt>
                <c:pt idx="5">
                  <c:v>48572</c:v>
                </c:pt>
                <c:pt idx="6">
                  <c:v>60521</c:v>
                </c:pt>
                <c:pt idx="7">
                  <c:v>10038</c:v>
                </c:pt>
                <c:pt idx="8">
                  <c:v>45843</c:v>
                </c:pt>
                <c:pt idx="9">
                  <c:v>42739</c:v>
                </c:pt>
                <c:pt idx="10">
                  <c:v>69236</c:v>
                </c:pt>
                <c:pt idx="11">
                  <c:v>39357</c:v>
                </c:pt>
              </c:numCache>
            </c:numRef>
          </c:val>
          <c:smooth val="0"/>
          <c:extLst>
            <c:ext xmlns:c16="http://schemas.microsoft.com/office/drawing/2014/chart" uri="{C3380CC4-5D6E-409C-BE32-E72D297353CC}">
              <c16:uniqueId val="{00000046-1539-4245-BE6C-8BC7C1940EA1}"/>
            </c:ext>
          </c:extLst>
        </c:ser>
        <c:ser>
          <c:idx val="3"/>
          <c:order val="3"/>
          <c:tx>
            <c:strRef>
              <c:f>'PT2'!$N$3:$N$4</c:f>
              <c:strCache>
                <c:ptCount val="1"/>
                <c:pt idx="0">
                  <c:v>Health</c:v>
                </c:pt>
              </c:strCache>
            </c:strRef>
          </c:tx>
          <c:spPr>
            <a:ln w="28575" cap="rnd">
              <a:solidFill>
                <a:schemeClr val="accent4"/>
              </a:solidFill>
              <a:round/>
            </a:ln>
            <a:effectLst/>
          </c:spPr>
          <c:marker>
            <c:symbol val="none"/>
          </c:marker>
          <c:cat>
            <c:strRef>
              <c:f>'PT2'!$J$5:$J$16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'PT2'!$N$5:$N$16</c:f>
              <c:numCache>
                <c:formatCode>#,##0</c:formatCode>
                <c:ptCount val="12"/>
                <c:pt idx="0">
                  <c:v>46244</c:v>
                </c:pt>
                <c:pt idx="1">
                  <c:v>32852</c:v>
                </c:pt>
                <c:pt idx="2">
                  <c:v>23970</c:v>
                </c:pt>
                <c:pt idx="3">
                  <c:v>13885</c:v>
                </c:pt>
                <c:pt idx="4">
                  <c:v>20788</c:v>
                </c:pt>
                <c:pt idx="5">
                  <c:v>27081</c:v>
                </c:pt>
                <c:pt idx="6">
                  <c:v>17259</c:v>
                </c:pt>
                <c:pt idx="7">
                  <c:v>37106</c:v>
                </c:pt>
                <c:pt idx="8">
                  <c:v>9827</c:v>
                </c:pt>
                <c:pt idx="9">
                  <c:v>16166</c:v>
                </c:pt>
                <c:pt idx="10">
                  <c:v>20047</c:v>
                </c:pt>
                <c:pt idx="11">
                  <c:v>36743</c:v>
                </c:pt>
              </c:numCache>
            </c:numRef>
          </c:val>
          <c:smooth val="0"/>
          <c:extLst>
            <c:ext xmlns:c16="http://schemas.microsoft.com/office/drawing/2014/chart" uri="{C3380CC4-5D6E-409C-BE32-E72D297353CC}">
              <c16:uniqueId val="{0000004F-1539-4245-BE6C-8BC7C1940EA1}"/>
            </c:ext>
          </c:extLst>
        </c:ser>
        <c:ser>
          <c:idx val="4"/>
          <c:order val="4"/>
          <c:tx>
            <c:strRef>
              <c:f>'PT2'!$O$3:$O$4</c:f>
              <c:strCache>
                <c:ptCount val="1"/>
                <c:pt idx="0">
                  <c:v>Bills</c:v>
                </c:pt>
              </c:strCache>
            </c:strRef>
          </c:tx>
          <c:spPr>
            <a:ln w="28575" cap="rnd">
              <a:solidFill>
                <a:schemeClr val="accent5"/>
              </a:solidFill>
              <a:round/>
            </a:ln>
            <a:effectLst/>
          </c:spPr>
          <c:marker>
            <c:symbol val="none"/>
          </c:marker>
          <c:cat>
            <c:strRef>
              <c:f>'PT2'!$J$5:$J$16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'PT2'!$O$5:$O$16</c:f>
              <c:numCache>
                <c:formatCode>#,##0</c:formatCode>
                <c:ptCount val="12"/>
                <c:pt idx="0">
                  <c:v>47580</c:v>
                </c:pt>
                <c:pt idx="1">
                  <c:v>4300</c:v>
                </c:pt>
                <c:pt idx="2">
                  <c:v>28675</c:v>
                </c:pt>
                <c:pt idx="3">
                  <c:v>24410</c:v>
                </c:pt>
                <c:pt idx="4">
                  <c:v>22328</c:v>
                </c:pt>
                <c:pt idx="5">
                  <c:v>32600</c:v>
                </c:pt>
                <c:pt idx="6">
                  <c:v>6392</c:v>
                </c:pt>
                <c:pt idx="7">
                  <c:v>20641</c:v>
                </c:pt>
                <c:pt idx="8">
                  <c:v>22062</c:v>
                </c:pt>
                <c:pt idx="9">
                  <c:v>32559</c:v>
                </c:pt>
                <c:pt idx="10">
                  <c:v>21604</c:v>
                </c:pt>
                <c:pt idx="11">
                  <c:v>13246</c:v>
                </c:pt>
              </c:numCache>
            </c:numRef>
          </c:val>
          <c:smooth val="0"/>
          <c:extLst>
            <c:ext xmlns:c16="http://schemas.microsoft.com/office/drawing/2014/chart" uri="{C3380CC4-5D6E-409C-BE32-E72D297353CC}">
              <c16:uniqueId val="{00000050-1539-4245-BE6C-8BC7C1940EA1}"/>
            </c:ext>
          </c:extLst>
        </c:ser>
        <c:dLbls>
          <c:showLegendKey val="0"/>
          <c:showVal val="0"/>
          <c:showCatName val="0"/>
          <c:showSerName val="0"/>
          <c:showPercent val="0"/>
          <c:showBubbleSize val="0"/>
        </c:dLbls>
        <c:smooth val="0"/>
        <c:axId val="1813273423"/>
        <c:axId val="1813270543"/>
      </c:lineChart>
      <c:catAx>
        <c:axId val="181327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270543"/>
        <c:crosses val="autoZero"/>
        <c:auto val="1"/>
        <c:lblAlgn val="ctr"/>
        <c:lblOffset val="100"/>
        <c:noMultiLvlLbl val="0"/>
      </c:catAx>
      <c:valAx>
        <c:axId val="18132705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2734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9CFE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All Expenses - YTD</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All Expenses - YTD</a:t>
          </a:r>
        </a:p>
      </cx:txPr>
    </cx:title>
    <cx:plotArea>
      <cx:plotAreaRegion>
        <cx:series layoutId="treemap" uniqueId="{71A03C1F-5DF0-4499-AEE6-4D9CF5B4EFBD}">
          <cx:tx>
            <cx:txData>
              <cx:f>_xlchart.v1.2</cx:f>
              <cx:v/>
            </cx:txData>
          </cx:tx>
          <cx:dataLabels pos="inEnd">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_xlchart.v1.4</cx:f>
      </cx:numDim>
    </cx:data>
  </cx:chartData>
  <cx:chart>
    <cx:title pos="t" align="ctr" overlay="0">
      <cx:tx>
        <cx:txData>
          <cx:v>Chart Title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Chart Title</a:t>
          </a:r>
        </a:p>
      </cx:txPr>
    </cx:title>
    <cx:plotArea>
      <cx:plotAreaRegion>
        <cx:series layoutId="waterfall" uniqueId="{6FFE00F9-4521-44BC-A5A0-0389FC150F14}">
          <cx:tx>
            <cx:txData>
              <cx:f>_xlchart.v1.5</cx:f>
              <cx:v>Sum of Amount</cx:v>
            </cx:txData>
          </cx:tx>
          <cx:dataLabels pos="outEnd">
            <cx:visibility seriesName="0" categoryName="0" value="1"/>
          </cx:dataLabels>
          <cx:dataId val="0"/>
          <cx:layoutPr>
            <cx:subtotals>
              <cx:idx val="6"/>
            </cx:subtotals>
          </cx:layoutPr>
        </cx:series>
      </cx:plotAreaRegion>
      <cx:axis id="0">
        <cx:catScaling gapWidth="0.5"/>
        <cx:tickLabels/>
      </cx:axis>
      <cx:axis id="1" hidden="1">
        <cx:valScaling/>
        <cx:tickLabels/>
      </cx:axis>
    </cx:plotArea>
    <cx:legend pos="b"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2.xml"/><Relationship Id="rId2" Type="http://schemas.openxmlformats.org/officeDocument/2006/relationships/image" Target="../media/image1.png"/><Relationship Id="rId16" Type="http://schemas.microsoft.com/office/2014/relationships/chartEx" Target="../charts/chartEx2.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microsoft.com/office/2014/relationships/chartEx" Target="../charts/chartEx1.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190499</xdr:colOff>
      <xdr:row>0</xdr:row>
      <xdr:rowOff>616857</xdr:rowOff>
    </xdr:from>
    <xdr:to>
      <xdr:col>14</xdr:col>
      <xdr:colOff>208642</xdr:colOff>
      <xdr:row>15</xdr:row>
      <xdr:rowOff>67128</xdr:rowOff>
    </xdr:to>
    <xdr:graphicFrame macro="">
      <xdr:nvGraphicFramePr>
        <xdr:cNvPr id="48" name="Chart 47">
          <a:extLst>
            <a:ext uri="{FF2B5EF4-FFF2-40B4-BE49-F238E27FC236}">
              <a16:creationId xmlns:a16="http://schemas.microsoft.com/office/drawing/2014/main" id="{6EAF947E-E88A-4DC4-A7CD-9E01B260C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28</xdr:col>
      <xdr:colOff>16387</xdr:colOff>
      <xdr:row>0</xdr:row>
      <xdr:rowOff>745612</xdr:rowOff>
    </xdr:to>
    <xdr:sp macro="" textlink="">
      <xdr:nvSpPr>
        <xdr:cNvPr id="3" name="Rectangle: Rounded Corners 2">
          <a:extLst>
            <a:ext uri="{FF2B5EF4-FFF2-40B4-BE49-F238E27FC236}">
              <a16:creationId xmlns:a16="http://schemas.microsoft.com/office/drawing/2014/main" id="{6C69A9E4-C631-65BA-D01F-2FEC8BDD38C7}"/>
            </a:ext>
          </a:extLst>
        </xdr:cNvPr>
        <xdr:cNvSpPr/>
      </xdr:nvSpPr>
      <xdr:spPr>
        <a:xfrm>
          <a:off x="0" y="0"/>
          <a:ext cx="16854129" cy="745612"/>
        </a:xfrm>
        <a:prstGeom prst="roundRect">
          <a:avLst/>
        </a:prstGeom>
        <a:gradFill flip="none" rotWithShape="1">
          <a:gsLst>
            <a:gs pos="0">
              <a:srgbClr val="7030A0"/>
            </a:gs>
            <a:gs pos="100000">
              <a:srgbClr val="8439BD"/>
            </a:gs>
            <a:gs pos="50000">
              <a:srgbClr val="B686DA"/>
            </a:gs>
            <a:gs pos="0">
              <a:srgbClr val="652C8C"/>
            </a:gs>
          </a:gsLst>
          <a:lin ang="0" scaled="1"/>
          <a:tileRect/>
        </a:gra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500"/>
            <a:t>Cash</a:t>
          </a:r>
          <a:r>
            <a:rPr lang="en-IN" sz="2500" baseline="0"/>
            <a:t> Flow &amp; Expense Intelligence Dashboard</a:t>
          </a:r>
          <a:endParaRPr lang="en-IN" sz="2500"/>
        </a:p>
      </xdr:txBody>
    </xdr:sp>
    <xdr:clientData/>
  </xdr:twoCellAnchor>
  <xdr:twoCellAnchor editAs="oneCell">
    <xdr:from>
      <xdr:col>12</xdr:col>
      <xdr:colOff>387554</xdr:colOff>
      <xdr:row>0</xdr:row>
      <xdr:rowOff>0</xdr:rowOff>
    </xdr:from>
    <xdr:to>
      <xdr:col>12</xdr:col>
      <xdr:colOff>824977</xdr:colOff>
      <xdr:row>0</xdr:row>
      <xdr:rowOff>509721</xdr:rowOff>
    </xdr:to>
    <xdr:pic>
      <xdr:nvPicPr>
        <xdr:cNvPr id="16" name="Graphic 15" descr="Home">
          <a:extLst>
            <a:ext uri="{FF2B5EF4-FFF2-40B4-BE49-F238E27FC236}">
              <a16:creationId xmlns:a16="http://schemas.microsoft.com/office/drawing/2014/main" id="{61718411-4B8A-2A65-C679-4E855684903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663425" y="0"/>
          <a:ext cx="432000" cy="509721"/>
        </a:xfrm>
        <a:prstGeom prst="rect">
          <a:avLst/>
        </a:prstGeom>
      </xdr:spPr>
    </xdr:pic>
    <xdr:clientData/>
  </xdr:twoCellAnchor>
  <xdr:twoCellAnchor editAs="oneCell">
    <xdr:from>
      <xdr:col>14</xdr:col>
      <xdr:colOff>344361</xdr:colOff>
      <xdr:row>0</xdr:row>
      <xdr:rowOff>0</xdr:rowOff>
    </xdr:from>
    <xdr:to>
      <xdr:col>15</xdr:col>
      <xdr:colOff>161367</xdr:colOff>
      <xdr:row>0</xdr:row>
      <xdr:rowOff>432000</xdr:rowOff>
    </xdr:to>
    <xdr:pic>
      <xdr:nvPicPr>
        <xdr:cNvPr id="18" name="Graphic 17" descr="Table and chairs">
          <a:extLst>
            <a:ext uri="{FF2B5EF4-FFF2-40B4-BE49-F238E27FC236}">
              <a16:creationId xmlns:a16="http://schemas.microsoft.com/office/drawing/2014/main" id="{CD9ED00B-AA65-2A4A-656D-0E3A8C80268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960994" y="0"/>
          <a:ext cx="424677" cy="432000"/>
        </a:xfrm>
        <a:prstGeom prst="rect">
          <a:avLst/>
        </a:prstGeom>
      </xdr:spPr>
    </xdr:pic>
    <xdr:clientData/>
  </xdr:twoCellAnchor>
  <xdr:twoCellAnchor editAs="oneCell">
    <xdr:from>
      <xdr:col>24</xdr:col>
      <xdr:colOff>161034</xdr:colOff>
      <xdr:row>0</xdr:row>
      <xdr:rowOff>19291</xdr:rowOff>
    </xdr:from>
    <xdr:to>
      <xdr:col>24</xdr:col>
      <xdr:colOff>594383</xdr:colOff>
      <xdr:row>0</xdr:row>
      <xdr:rowOff>451291</xdr:rowOff>
    </xdr:to>
    <xdr:pic>
      <xdr:nvPicPr>
        <xdr:cNvPr id="20" name="Graphic 19" descr="Medical">
          <a:extLst>
            <a:ext uri="{FF2B5EF4-FFF2-40B4-BE49-F238E27FC236}">
              <a16:creationId xmlns:a16="http://schemas.microsoft.com/office/drawing/2014/main" id="{D060E604-4576-B48F-B73D-88F9E832874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5709692" y="19291"/>
          <a:ext cx="433349" cy="432000"/>
        </a:xfrm>
        <a:prstGeom prst="rect">
          <a:avLst/>
        </a:prstGeom>
      </xdr:spPr>
    </xdr:pic>
    <xdr:clientData/>
  </xdr:twoCellAnchor>
  <xdr:twoCellAnchor editAs="oneCell">
    <xdr:from>
      <xdr:col>18</xdr:col>
      <xdr:colOff>23826</xdr:colOff>
      <xdr:row>0</xdr:row>
      <xdr:rowOff>5289</xdr:rowOff>
    </xdr:from>
    <xdr:to>
      <xdr:col>18</xdr:col>
      <xdr:colOff>453898</xdr:colOff>
      <xdr:row>0</xdr:row>
      <xdr:rowOff>437289</xdr:rowOff>
    </xdr:to>
    <xdr:pic>
      <xdr:nvPicPr>
        <xdr:cNvPr id="22" name="Graphic 21" descr="Car">
          <a:extLst>
            <a:ext uri="{FF2B5EF4-FFF2-40B4-BE49-F238E27FC236}">
              <a16:creationId xmlns:a16="http://schemas.microsoft.com/office/drawing/2014/main" id="{F5AF9884-F339-C6EB-438B-450C176CB6F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926459" y="5289"/>
          <a:ext cx="430072" cy="432000"/>
        </a:xfrm>
        <a:prstGeom prst="rect">
          <a:avLst/>
        </a:prstGeom>
      </xdr:spPr>
    </xdr:pic>
    <xdr:clientData/>
  </xdr:twoCellAnchor>
  <xdr:twoCellAnchor>
    <xdr:from>
      <xdr:col>18</xdr:col>
      <xdr:colOff>409574</xdr:colOff>
      <xdr:row>0</xdr:row>
      <xdr:rowOff>70967</xdr:rowOff>
    </xdr:from>
    <xdr:to>
      <xdr:col>20</xdr:col>
      <xdr:colOff>308658</xdr:colOff>
      <xdr:row>0</xdr:row>
      <xdr:rowOff>347241</xdr:rowOff>
    </xdr:to>
    <xdr:sp macro="" textlink="'PT1'!B6">
      <xdr:nvSpPr>
        <xdr:cNvPr id="27" name="TextBox 26">
          <a:extLst>
            <a:ext uri="{FF2B5EF4-FFF2-40B4-BE49-F238E27FC236}">
              <a16:creationId xmlns:a16="http://schemas.microsoft.com/office/drawing/2014/main" id="{A81989F8-0869-1202-5703-50FE2C74C679}"/>
            </a:ext>
          </a:extLst>
        </xdr:cNvPr>
        <xdr:cNvSpPr txBox="1"/>
      </xdr:nvSpPr>
      <xdr:spPr>
        <a:xfrm>
          <a:off x="12312207" y="70967"/>
          <a:ext cx="1114426" cy="276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3679A62-F986-4FA3-A67D-B6D9CFACEC1B}" type="TxLink">
            <a:rPr lang="en-US" sz="1600" b="0" i="0" u="none" strike="noStrike">
              <a:solidFill>
                <a:srgbClr val="ECDFF5"/>
              </a:solidFill>
              <a:latin typeface="Calibri"/>
              <a:ea typeface="Calibri"/>
              <a:cs typeface="Calibri"/>
            </a:rPr>
            <a:pPr marL="0" indent="0"/>
            <a:t>₹ 5,25,715</a:t>
          </a:fld>
          <a:endParaRPr lang="en-IN" sz="1600" b="0" i="0" u="none" strike="noStrike">
            <a:solidFill>
              <a:srgbClr val="ECDFF5"/>
            </a:solidFill>
            <a:latin typeface="Calibri"/>
            <a:ea typeface="Calibri"/>
            <a:cs typeface="Calibri"/>
          </a:endParaRPr>
        </a:p>
      </xdr:txBody>
    </xdr:sp>
    <xdr:clientData/>
  </xdr:twoCellAnchor>
  <xdr:twoCellAnchor>
    <xdr:from>
      <xdr:col>12</xdr:col>
      <xdr:colOff>385095</xdr:colOff>
      <xdr:row>0</xdr:row>
      <xdr:rowOff>458839</xdr:rowOff>
    </xdr:from>
    <xdr:to>
      <xdr:col>15</xdr:col>
      <xdr:colOff>156823</xdr:colOff>
      <xdr:row>0</xdr:row>
      <xdr:rowOff>688258</xdr:rowOff>
    </xdr:to>
    <xdr:sp macro="" textlink="">
      <xdr:nvSpPr>
        <xdr:cNvPr id="28" name="TextBox 27">
          <a:extLst>
            <a:ext uri="{FF2B5EF4-FFF2-40B4-BE49-F238E27FC236}">
              <a16:creationId xmlns:a16="http://schemas.microsoft.com/office/drawing/2014/main" id="{0475F7BA-C1FE-2B99-142F-5FC2C628B9EF}"/>
            </a:ext>
          </a:extLst>
        </xdr:cNvPr>
        <xdr:cNvSpPr txBox="1"/>
      </xdr:nvSpPr>
      <xdr:spPr>
        <a:xfrm>
          <a:off x="7660966" y="458839"/>
          <a:ext cx="1590696" cy="229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a:solidFill>
                <a:srgbClr val="ECDFF5"/>
              </a:solidFill>
            </a:rPr>
            <a:t>LIFE</a:t>
          </a:r>
          <a:r>
            <a:rPr lang="en-IN" sz="1400" baseline="0">
              <a:solidFill>
                <a:srgbClr val="ECDFF5"/>
              </a:solidFill>
            </a:rPr>
            <a:t> </a:t>
          </a:r>
          <a:r>
            <a:rPr lang="en-IN" sz="1600" baseline="0">
              <a:solidFill>
                <a:srgbClr val="ECDFF5"/>
              </a:solidFill>
            </a:rPr>
            <a:t>STYLE</a:t>
          </a:r>
          <a:endParaRPr lang="en-IN" sz="1400" baseline="0">
            <a:solidFill>
              <a:srgbClr val="ECDFF5"/>
            </a:solidFill>
          </a:endParaRPr>
        </a:p>
        <a:p>
          <a:endParaRPr lang="en-IN" sz="1400" baseline="0">
            <a:solidFill>
              <a:srgbClr val="ECDFF5"/>
            </a:solidFill>
          </a:endParaRPr>
        </a:p>
        <a:p>
          <a:endParaRPr lang="en-IN" sz="1400" baseline="0">
            <a:solidFill>
              <a:srgbClr val="ECDFF5"/>
            </a:solidFill>
          </a:endParaRPr>
        </a:p>
      </xdr:txBody>
    </xdr:sp>
    <xdr:clientData/>
  </xdr:twoCellAnchor>
  <xdr:twoCellAnchor>
    <xdr:from>
      <xdr:col>15</xdr:col>
      <xdr:colOff>113467</xdr:colOff>
      <xdr:row>0</xdr:row>
      <xdr:rowOff>38064</xdr:rowOff>
    </xdr:from>
    <xdr:to>
      <xdr:col>17</xdr:col>
      <xdr:colOff>115747</xdr:colOff>
      <xdr:row>0</xdr:row>
      <xdr:rowOff>398580</xdr:rowOff>
    </xdr:to>
    <xdr:sp macro="" textlink="'PT1'!B5">
      <xdr:nvSpPr>
        <xdr:cNvPr id="37" name="TextBox 36">
          <a:extLst>
            <a:ext uri="{FF2B5EF4-FFF2-40B4-BE49-F238E27FC236}">
              <a16:creationId xmlns:a16="http://schemas.microsoft.com/office/drawing/2014/main" id="{A7F29D83-8831-3EEB-340A-FD68AAE4EE9F}"/>
            </a:ext>
          </a:extLst>
        </xdr:cNvPr>
        <xdr:cNvSpPr txBox="1"/>
      </xdr:nvSpPr>
      <xdr:spPr>
        <a:xfrm>
          <a:off x="10337771" y="38064"/>
          <a:ext cx="1072938" cy="360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8E2140FA-1458-45BF-BDB4-9B8BBCAA201E}" type="TxLink">
            <a:rPr lang="en-US" sz="1600" b="0" i="0" u="none" strike="noStrike">
              <a:solidFill>
                <a:srgbClr val="ECDFF5"/>
              </a:solidFill>
              <a:latin typeface="Calibri"/>
              <a:ea typeface="Calibri"/>
              <a:cs typeface="Calibri"/>
            </a:rPr>
            <a:pPr marL="0" indent="0"/>
            <a:t>₹ 5,81,439</a:t>
          </a:fld>
          <a:endParaRPr lang="en-IN" sz="1600" b="0" i="0" u="none" strike="noStrike">
            <a:solidFill>
              <a:srgbClr val="ECDFF5"/>
            </a:solidFill>
            <a:latin typeface="Calibri"/>
            <a:ea typeface="Calibri"/>
            <a:cs typeface="Calibri"/>
          </a:endParaRPr>
        </a:p>
      </xdr:txBody>
    </xdr:sp>
    <xdr:clientData/>
  </xdr:twoCellAnchor>
  <xdr:twoCellAnchor>
    <xdr:from>
      <xdr:col>18</xdr:col>
      <xdr:colOff>168952</xdr:colOff>
      <xdr:row>0</xdr:row>
      <xdr:rowOff>420256</xdr:rowOff>
    </xdr:from>
    <xdr:to>
      <xdr:col>20</xdr:col>
      <xdr:colOff>563591</xdr:colOff>
      <xdr:row>0</xdr:row>
      <xdr:rowOff>649675</xdr:rowOff>
    </xdr:to>
    <xdr:sp macro="" textlink="">
      <xdr:nvSpPr>
        <xdr:cNvPr id="38" name="TextBox 37">
          <a:extLst>
            <a:ext uri="{FF2B5EF4-FFF2-40B4-BE49-F238E27FC236}">
              <a16:creationId xmlns:a16="http://schemas.microsoft.com/office/drawing/2014/main" id="{D3449894-0AC5-2224-F3DB-8E95EE97B76E}"/>
            </a:ext>
          </a:extLst>
        </xdr:cNvPr>
        <xdr:cNvSpPr txBox="1"/>
      </xdr:nvSpPr>
      <xdr:spPr>
        <a:xfrm>
          <a:off x="12071585" y="420256"/>
          <a:ext cx="1609981" cy="229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aseline="0">
              <a:solidFill>
                <a:srgbClr val="ECDFF5"/>
              </a:solidFill>
            </a:rPr>
            <a:t>TRAVEL</a:t>
          </a:r>
          <a:endParaRPr lang="en-IN" sz="1400" baseline="0">
            <a:solidFill>
              <a:srgbClr val="ECDFF5"/>
            </a:solidFill>
          </a:endParaRPr>
        </a:p>
        <a:p>
          <a:endParaRPr lang="en-IN" sz="1400" baseline="0">
            <a:solidFill>
              <a:srgbClr val="ECDFF5"/>
            </a:solidFill>
          </a:endParaRPr>
        </a:p>
        <a:p>
          <a:endParaRPr lang="en-IN" sz="1400" baseline="0">
            <a:solidFill>
              <a:srgbClr val="ECDFF5"/>
            </a:solidFill>
          </a:endParaRPr>
        </a:p>
      </xdr:txBody>
    </xdr:sp>
    <xdr:clientData/>
  </xdr:twoCellAnchor>
  <xdr:twoCellAnchor>
    <xdr:from>
      <xdr:col>12</xdr:col>
      <xdr:colOff>807948</xdr:colOff>
      <xdr:row>0</xdr:row>
      <xdr:rowOff>6743</xdr:rowOff>
    </xdr:from>
    <xdr:to>
      <xdr:col>14</xdr:col>
      <xdr:colOff>180989</xdr:colOff>
      <xdr:row>0</xdr:row>
      <xdr:rowOff>524903</xdr:rowOff>
    </xdr:to>
    <xdr:sp macro="" textlink="'PT1'!B4">
      <xdr:nvSpPr>
        <xdr:cNvPr id="39" name="TextBox 38">
          <a:extLst>
            <a:ext uri="{FF2B5EF4-FFF2-40B4-BE49-F238E27FC236}">
              <a16:creationId xmlns:a16="http://schemas.microsoft.com/office/drawing/2014/main" id="{CEC22394-2F30-ADEF-E764-A69A1D623363}"/>
            </a:ext>
          </a:extLst>
        </xdr:cNvPr>
        <xdr:cNvSpPr txBox="1"/>
      </xdr:nvSpPr>
      <xdr:spPr>
        <a:xfrm>
          <a:off x="8273619" y="6743"/>
          <a:ext cx="1524003"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1D56C999-13EE-40D7-A34F-1B8A67A2C729}" type="TxLink">
            <a:rPr lang="en-US" sz="1600" b="0" i="0" u="none" strike="noStrike">
              <a:solidFill>
                <a:srgbClr val="ECDFF5"/>
              </a:solidFill>
              <a:latin typeface="Calibri"/>
              <a:ea typeface="Calibri"/>
              <a:cs typeface="Calibri"/>
            </a:rPr>
            <a:pPr marL="0" indent="0"/>
            <a:t>₹ 6,48,041</a:t>
          </a:fld>
          <a:endParaRPr lang="en-IN" sz="1600" b="0" i="0" u="none" strike="noStrike">
            <a:solidFill>
              <a:srgbClr val="ECDFF5"/>
            </a:solidFill>
            <a:latin typeface="Calibri"/>
            <a:ea typeface="Calibri"/>
            <a:cs typeface="Calibri"/>
          </a:endParaRPr>
        </a:p>
      </xdr:txBody>
    </xdr:sp>
    <xdr:clientData/>
  </xdr:twoCellAnchor>
  <xdr:twoCellAnchor>
    <xdr:from>
      <xdr:col>14</xdr:col>
      <xdr:colOff>489226</xdr:colOff>
      <xdr:row>0</xdr:row>
      <xdr:rowOff>429902</xdr:rowOff>
    </xdr:from>
    <xdr:to>
      <xdr:col>17</xdr:col>
      <xdr:colOff>415485</xdr:colOff>
      <xdr:row>0</xdr:row>
      <xdr:rowOff>659321</xdr:rowOff>
    </xdr:to>
    <xdr:sp macro="" textlink="">
      <xdr:nvSpPr>
        <xdr:cNvPr id="40" name="TextBox 39">
          <a:extLst>
            <a:ext uri="{FF2B5EF4-FFF2-40B4-BE49-F238E27FC236}">
              <a16:creationId xmlns:a16="http://schemas.microsoft.com/office/drawing/2014/main" id="{E03F5475-823A-428F-757C-6E44E911A150}"/>
            </a:ext>
          </a:extLst>
        </xdr:cNvPr>
        <xdr:cNvSpPr txBox="1"/>
      </xdr:nvSpPr>
      <xdr:spPr>
        <a:xfrm>
          <a:off x="10105859" y="429902"/>
          <a:ext cx="1604588" cy="229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aseline="0">
              <a:solidFill>
                <a:srgbClr val="ECDFF5"/>
              </a:solidFill>
            </a:rPr>
            <a:t>FOOD</a:t>
          </a:r>
        </a:p>
        <a:p>
          <a:endParaRPr lang="en-IN" sz="1400" baseline="0">
            <a:solidFill>
              <a:srgbClr val="ECDFF5"/>
            </a:solidFill>
          </a:endParaRPr>
        </a:p>
        <a:p>
          <a:endParaRPr lang="en-IN" sz="1400" baseline="0">
            <a:solidFill>
              <a:srgbClr val="ECDFF5"/>
            </a:solidFill>
          </a:endParaRPr>
        </a:p>
        <a:p>
          <a:endParaRPr lang="en-IN" sz="1100">
            <a:solidFill>
              <a:srgbClr val="ECDFF5"/>
            </a:solidFill>
          </a:endParaRPr>
        </a:p>
      </xdr:txBody>
    </xdr:sp>
    <xdr:clientData/>
  </xdr:twoCellAnchor>
  <xdr:twoCellAnchor>
    <xdr:from>
      <xdr:col>21</xdr:col>
      <xdr:colOff>384477</xdr:colOff>
      <xdr:row>0</xdr:row>
      <xdr:rowOff>87225</xdr:rowOff>
    </xdr:from>
    <xdr:to>
      <xdr:col>23</xdr:col>
      <xdr:colOff>279722</xdr:colOff>
      <xdr:row>0</xdr:row>
      <xdr:rowOff>376176</xdr:rowOff>
    </xdr:to>
    <xdr:sp macro="" textlink="'PT1'!B7">
      <xdr:nvSpPr>
        <xdr:cNvPr id="41" name="TextBox 40">
          <a:extLst>
            <a:ext uri="{FF2B5EF4-FFF2-40B4-BE49-F238E27FC236}">
              <a16:creationId xmlns:a16="http://schemas.microsoft.com/office/drawing/2014/main" id="{83596922-CE09-A972-8EC2-3DB2BCF88D8A}"/>
            </a:ext>
          </a:extLst>
        </xdr:cNvPr>
        <xdr:cNvSpPr txBox="1"/>
      </xdr:nvSpPr>
      <xdr:spPr>
        <a:xfrm>
          <a:off x="14110123" y="87225"/>
          <a:ext cx="1110586" cy="288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AD22437-B1F1-44E5-BE4E-5A5F726D63FE}" type="TxLink">
            <a:rPr lang="en-US" sz="1600" b="0" i="0" u="none" strike="noStrike">
              <a:solidFill>
                <a:srgbClr val="ECDFF5"/>
              </a:solidFill>
              <a:latin typeface="Calibri"/>
              <a:ea typeface="Calibri"/>
              <a:cs typeface="Calibri"/>
            </a:rPr>
            <a:pPr marL="0" indent="0"/>
            <a:t>₹ 3,01,968</a:t>
          </a:fld>
          <a:endParaRPr lang="en-IN" sz="1600" b="0" i="0" u="none" strike="noStrike">
            <a:solidFill>
              <a:srgbClr val="ECDFF5"/>
            </a:solidFill>
            <a:latin typeface="Calibri"/>
            <a:ea typeface="Calibri"/>
            <a:cs typeface="Calibri"/>
          </a:endParaRPr>
        </a:p>
      </xdr:txBody>
    </xdr:sp>
    <xdr:clientData/>
  </xdr:twoCellAnchor>
  <xdr:twoCellAnchor>
    <xdr:from>
      <xdr:col>21</xdr:col>
      <xdr:colOff>297560</xdr:colOff>
      <xdr:row>0</xdr:row>
      <xdr:rowOff>426062</xdr:rowOff>
    </xdr:from>
    <xdr:to>
      <xdr:col>24</xdr:col>
      <xdr:colOff>83180</xdr:colOff>
      <xdr:row>0</xdr:row>
      <xdr:rowOff>655481</xdr:rowOff>
    </xdr:to>
    <xdr:sp macro="" textlink="">
      <xdr:nvSpPr>
        <xdr:cNvPr id="42" name="TextBox 41">
          <a:extLst>
            <a:ext uri="{FF2B5EF4-FFF2-40B4-BE49-F238E27FC236}">
              <a16:creationId xmlns:a16="http://schemas.microsoft.com/office/drawing/2014/main" id="{20B0A27E-6A47-93A7-C489-5FEE8E2AD9D5}"/>
            </a:ext>
          </a:extLst>
        </xdr:cNvPr>
        <xdr:cNvSpPr txBox="1"/>
      </xdr:nvSpPr>
      <xdr:spPr>
        <a:xfrm>
          <a:off x="14023206" y="426062"/>
          <a:ext cx="1608632" cy="229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aseline="0">
              <a:solidFill>
                <a:srgbClr val="ECDFF5"/>
              </a:solidFill>
            </a:rPr>
            <a:t>BILLS</a:t>
          </a:r>
        </a:p>
        <a:p>
          <a:endParaRPr lang="en-IN" sz="1400" baseline="0">
            <a:solidFill>
              <a:srgbClr val="ECDFF5"/>
            </a:solidFill>
          </a:endParaRPr>
        </a:p>
        <a:p>
          <a:endParaRPr lang="en-IN" sz="1400" baseline="0">
            <a:solidFill>
              <a:srgbClr val="ECDFF5"/>
            </a:solidFill>
          </a:endParaRPr>
        </a:p>
      </xdr:txBody>
    </xdr:sp>
    <xdr:clientData/>
  </xdr:twoCellAnchor>
  <xdr:twoCellAnchor>
    <xdr:from>
      <xdr:col>24</xdr:col>
      <xdr:colOff>539324</xdr:colOff>
      <xdr:row>0</xdr:row>
      <xdr:rowOff>57354</xdr:rowOff>
    </xdr:from>
    <xdr:to>
      <xdr:col>26</xdr:col>
      <xdr:colOff>395468</xdr:colOff>
      <xdr:row>0</xdr:row>
      <xdr:rowOff>376177</xdr:rowOff>
    </xdr:to>
    <xdr:sp macro="" textlink="'PT1'!B8">
      <xdr:nvSpPr>
        <xdr:cNvPr id="43" name="TextBox 42">
          <a:extLst>
            <a:ext uri="{FF2B5EF4-FFF2-40B4-BE49-F238E27FC236}">
              <a16:creationId xmlns:a16="http://schemas.microsoft.com/office/drawing/2014/main" id="{045AD1D3-0C2B-2CBC-F819-977F8FF126BF}"/>
            </a:ext>
          </a:extLst>
        </xdr:cNvPr>
        <xdr:cNvSpPr txBox="1"/>
      </xdr:nvSpPr>
      <xdr:spPr>
        <a:xfrm>
          <a:off x="16087982" y="57354"/>
          <a:ext cx="1071486" cy="318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C0B5298-7E11-4CC9-96C9-8174188E5B0A}" type="TxLink">
            <a:rPr lang="en-US" sz="1600" b="0" i="0" u="none" strike="noStrike">
              <a:solidFill>
                <a:srgbClr val="ECDFF5"/>
              </a:solidFill>
              <a:latin typeface="Calibri"/>
              <a:ea typeface="Calibri"/>
              <a:cs typeface="Calibri"/>
            </a:rPr>
            <a:pPr marL="0" indent="0"/>
            <a:t>₹ 2,76,397</a:t>
          </a:fld>
          <a:endParaRPr lang="en-IN" sz="1600" b="0" i="0" u="none" strike="noStrike">
            <a:solidFill>
              <a:srgbClr val="ECDFF5"/>
            </a:solidFill>
            <a:latin typeface="Calibri"/>
            <a:ea typeface="Calibri"/>
            <a:cs typeface="Calibri"/>
          </a:endParaRPr>
        </a:p>
      </xdr:txBody>
    </xdr:sp>
    <xdr:clientData/>
  </xdr:twoCellAnchor>
  <xdr:twoCellAnchor>
    <xdr:from>
      <xdr:col>24</xdr:col>
      <xdr:colOff>327637</xdr:colOff>
      <xdr:row>0</xdr:row>
      <xdr:rowOff>452095</xdr:rowOff>
    </xdr:from>
    <xdr:to>
      <xdr:col>27</xdr:col>
      <xdr:colOff>114606</xdr:colOff>
      <xdr:row>0</xdr:row>
      <xdr:rowOff>681514</xdr:rowOff>
    </xdr:to>
    <xdr:sp macro="" textlink="">
      <xdr:nvSpPr>
        <xdr:cNvPr id="44" name="TextBox 43">
          <a:extLst>
            <a:ext uri="{FF2B5EF4-FFF2-40B4-BE49-F238E27FC236}">
              <a16:creationId xmlns:a16="http://schemas.microsoft.com/office/drawing/2014/main" id="{B4C323B4-B749-2994-11DE-859287E7E050}"/>
            </a:ext>
          </a:extLst>
        </xdr:cNvPr>
        <xdr:cNvSpPr txBox="1"/>
      </xdr:nvSpPr>
      <xdr:spPr>
        <a:xfrm>
          <a:off x="15876295" y="452095"/>
          <a:ext cx="1609982" cy="229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aseline="0">
              <a:solidFill>
                <a:srgbClr val="ECDFF5"/>
              </a:solidFill>
            </a:rPr>
            <a:t>HEALTH</a:t>
          </a:r>
          <a:endParaRPr lang="en-IN" sz="1400" baseline="0">
            <a:solidFill>
              <a:srgbClr val="ECDFF5"/>
            </a:solidFill>
          </a:endParaRPr>
        </a:p>
        <a:p>
          <a:endParaRPr lang="en-IN" sz="1400" baseline="0">
            <a:solidFill>
              <a:srgbClr val="ECDFF5"/>
            </a:solidFill>
          </a:endParaRPr>
        </a:p>
        <a:p>
          <a:endParaRPr lang="en-IN" sz="1400" baseline="0">
            <a:solidFill>
              <a:srgbClr val="ECDFF5"/>
            </a:solidFill>
          </a:endParaRPr>
        </a:p>
      </xdr:txBody>
    </xdr:sp>
    <xdr:clientData/>
  </xdr:twoCellAnchor>
  <xdr:twoCellAnchor editAs="oneCell">
    <xdr:from>
      <xdr:col>20</xdr:col>
      <xdr:colOff>567844</xdr:colOff>
      <xdr:row>0</xdr:row>
      <xdr:rowOff>19291</xdr:rowOff>
    </xdr:from>
    <xdr:to>
      <xdr:col>21</xdr:col>
      <xdr:colOff>393520</xdr:colOff>
      <xdr:row>0</xdr:row>
      <xdr:rowOff>451291</xdr:rowOff>
    </xdr:to>
    <xdr:pic>
      <xdr:nvPicPr>
        <xdr:cNvPr id="46" name="Graphic 45" descr="Coins">
          <a:extLst>
            <a:ext uri="{FF2B5EF4-FFF2-40B4-BE49-F238E27FC236}">
              <a16:creationId xmlns:a16="http://schemas.microsoft.com/office/drawing/2014/main" id="{D320EDDC-7BA8-28BC-D0A1-E21F401DDA4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3685819" y="19291"/>
          <a:ext cx="433347" cy="432000"/>
        </a:xfrm>
        <a:prstGeom prst="rect">
          <a:avLst/>
        </a:prstGeom>
      </xdr:spPr>
    </xdr:pic>
    <xdr:clientData/>
  </xdr:twoCellAnchor>
  <xdr:twoCellAnchor>
    <xdr:from>
      <xdr:col>11</xdr:col>
      <xdr:colOff>237613</xdr:colOff>
      <xdr:row>0</xdr:row>
      <xdr:rowOff>40967</xdr:rowOff>
    </xdr:from>
    <xdr:to>
      <xdr:col>12</xdr:col>
      <xdr:colOff>319547</xdr:colOff>
      <xdr:row>0</xdr:row>
      <xdr:rowOff>688258</xdr:rowOff>
    </xdr:to>
    <xdr:sp macro="" textlink="">
      <xdr:nvSpPr>
        <xdr:cNvPr id="47" name="TextBox 46">
          <a:extLst>
            <a:ext uri="{FF2B5EF4-FFF2-40B4-BE49-F238E27FC236}">
              <a16:creationId xmlns:a16="http://schemas.microsoft.com/office/drawing/2014/main" id="{E4AA7702-B53C-782E-8728-B0854FCA2265}"/>
            </a:ext>
          </a:extLst>
        </xdr:cNvPr>
        <xdr:cNvSpPr txBox="1"/>
      </xdr:nvSpPr>
      <xdr:spPr>
        <a:xfrm>
          <a:off x="6907161" y="40967"/>
          <a:ext cx="688257" cy="647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400" baseline="0">
              <a:solidFill>
                <a:srgbClr val="ECDFF5"/>
              </a:solidFill>
              <a:latin typeface="+mn-lt"/>
              <a:ea typeface="+mn-ea"/>
              <a:cs typeface="+mn-cs"/>
            </a:rPr>
            <a:t>SPEND</a:t>
          </a:r>
          <a:r>
            <a:rPr lang="en-IN" sz="1400" baseline="0">
              <a:solidFill>
                <a:srgbClr val="ECDFF5"/>
              </a:solidFill>
            </a:rPr>
            <a:t> YTD</a:t>
          </a:r>
          <a:endParaRPr lang="en-IN" sz="1400">
            <a:solidFill>
              <a:srgbClr val="ECDFF5"/>
            </a:solidFill>
          </a:endParaRPr>
        </a:p>
      </xdr:txBody>
    </xdr:sp>
    <xdr:clientData/>
  </xdr:twoCellAnchor>
  <xdr:twoCellAnchor>
    <xdr:from>
      <xdr:col>11</xdr:col>
      <xdr:colOff>685364</xdr:colOff>
      <xdr:row>7</xdr:row>
      <xdr:rowOff>56525</xdr:rowOff>
    </xdr:from>
    <xdr:to>
      <xdr:col>13</xdr:col>
      <xdr:colOff>513007</xdr:colOff>
      <xdr:row>10</xdr:row>
      <xdr:rowOff>147239</xdr:rowOff>
    </xdr:to>
    <xdr:sp macro="" textlink="'PT2'!B18">
      <xdr:nvSpPr>
        <xdr:cNvPr id="49" name="TextBox 48">
          <a:extLst>
            <a:ext uri="{FF2B5EF4-FFF2-40B4-BE49-F238E27FC236}">
              <a16:creationId xmlns:a16="http://schemas.microsoft.com/office/drawing/2014/main" id="{0D422A1D-7ED5-4B13-4C60-8E7F9C6DBB5F}"/>
            </a:ext>
          </a:extLst>
        </xdr:cNvPr>
        <xdr:cNvSpPr txBox="1"/>
      </xdr:nvSpPr>
      <xdr:spPr>
        <a:xfrm>
          <a:off x="7029014" y="1894850"/>
          <a:ext cx="1951718" cy="633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04C63DB-34CF-4614-8799-BDC0C0579786}" type="TxLink">
            <a:rPr lang="en-US" sz="1400" b="0" i="0" u="none" strike="noStrike">
              <a:solidFill>
                <a:schemeClr val="bg1"/>
              </a:solidFill>
              <a:latin typeface="Calibri"/>
              <a:ea typeface="Calibri"/>
              <a:cs typeface="Calibri"/>
            </a:rPr>
            <a:pPr algn="ctr"/>
            <a:t>₹ 23,33,560</a:t>
          </a:fld>
          <a:endParaRPr lang="en-IN" sz="1800">
            <a:solidFill>
              <a:schemeClr val="bg1"/>
            </a:solidFill>
          </a:endParaRPr>
        </a:p>
      </xdr:txBody>
    </xdr:sp>
    <xdr:clientData/>
  </xdr:twoCellAnchor>
  <xdr:twoCellAnchor>
    <xdr:from>
      <xdr:col>0</xdr:col>
      <xdr:colOff>0</xdr:colOff>
      <xdr:row>1</xdr:row>
      <xdr:rowOff>9646</xdr:rowOff>
    </xdr:from>
    <xdr:to>
      <xdr:col>10</xdr:col>
      <xdr:colOff>190499</xdr:colOff>
      <xdr:row>17</xdr:row>
      <xdr:rowOff>79339</xdr:rowOff>
    </xdr:to>
    <xdr:graphicFrame macro="">
      <xdr:nvGraphicFramePr>
        <xdr:cNvPr id="50" name="Chart 49">
          <a:extLst>
            <a:ext uri="{FF2B5EF4-FFF2-40B4-BE49-F238E27FC236}">
              <a16:creationId xmlns:a16="http://schemas.microsoft.com/office/drawing/2014/main" id="{8F3EDF03-C4DC-4177-A14F-AD21BA2A7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9646</xdr:colOff>
      <xdr:row>15</xdr:row>
      <xdr:rowOff>136263</xdr:rowOff>
    </xdr:from>
    <xdr:to>
      <xdr:col>10</xdr:col>
      <xdr:colOff>125393</xdr:colOff>
      <xdr:row>25</xdr:row>
      <xdr:rowOff>79475</xdr:rowOff>
    </xdr:to>
    <xdr:graphicFrame macro="">
      <xdr:nvGraphicFramePr>
        <xdr:cNvPr id="51" name="Chart 50">
          <a:extLst>
            <a:ext uri="{FF2B5EF4-FFF2-40B4-BE49-F238E27FC236}">
              <a16:creationId xmlns:a16="http://schemas.microsoft.com/office/drawing/2014/main" id="{771D6951-26A2-4E1D-A06E-4B4B8CE3D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28936</xdr:colOff>
      <xdr:row>1</xdr:row>
      <xdr:rowOff>48228</xdr:rowOff>
    </xdr:from>
    <xdr:to>
      <xdr:col>10</xdr:col>
      <xdr:colOff>86809</xdr:colOff>
      <xdr:row>25</xdr:row>
      <xdr:rowOff>62221</xdr:rowOff>
    </xdr:to>
    <xdr:sp macro="" textlink="">
      <xdr:nvSpPr>
        <xdr:cNvPr id="52" name="Rectangle: Rounded Corners 51">
          <a:extLst>
            <a:ext uri="{FF2B5EF4-FFF2-40B4-BE49-F238E27FC236}">
              <a16:creationId xmlns:a16="http://schemas.microsoft.com/office/drawing/2014/main" id="{0FD3E38C-4DAC-F1A0-9C1F-01A491D01B73}"/>
            </a:ext>
          </a:extLst>
        </xdr:cNvPr>
        <xdr:cNvSpPr/>
      </xdr:nvSpPr>
      <xdr:spPr>
        <a:xfrm>
          <a:off x="28936" y="800582"/>
          <a:ext cx="6134582" cy="4412373"/>
        </a:xfrm>
        <a:prstGeom prst="roundRect">
          <a:avLst>
            <a:gd name="adj" fmla="val 3833"/>
          </a:avLst>
        </a:prstGeom>
        <a:noFill/>
        <a:ln>
          <a:solidFill>
            <a:srgbClr val="ECDF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57873</xdr:colOff>
      <xdr:row>25</xdr:row>
      <xdr:rowOff>173552</xdr:rowOff>
    </xdr:from>
    <xdr:to>
      <xdr:col>10</xdr:col>
      <xdr:colOff>77164</xdr:colOff>
      <xdr:row>42</xdr:row>
      <xdr:rowOff>20513</xdr:rowOff>
    </xdr:to>
    <xdr:graphicFrame macro="">
      <xdr:nvGraphicFramePr>
        <xdr:cNvPr id="53" name="Chart 52">
          <a:extLst>
            <a:ext uri="{FF2B5EF4-FFF2-40B4-BE49-F238E27FC236}">
              <a16:creationId xmlns:a16="http://schemas.microsoft.com/office/drawing/2014/main" id="{2CE780D8-C274-41AB-BA84-75ABBC2405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375633</xdr:colOff>
      <xdr:row>0</xdr:row>
      <xdr:rowOff>740535</xdr:rowOff>
    </xdr:from>
    <xdr:to>
      <xdr:col>28</xdr:col>
      <xdr:colOff>53661</xdr:colOff>
      <xdr:row>22</xdr:row>
      <xdr:rowOff>10733</xdr:rowOff>
    </xdr:to>
    <mc:AlternateContent xmlns:mc="http://schemas.openxmlformats.org/markup-compatibility/2006">
      <mc:Choice xmlns:cx1="http://schemas.microsoft.com/office/drawing/2015/9/8/chartex" Requires="cx1">
        <xdr:graphicFrame macro="">
          <xdr:nvGraphicFramePr>
            <xdr:cNvPr id="54" name="Chart 53">
              <a:extLst>
                <a:ext uri="{FF2B5EF4-FFF2-40B4-BE49-F238E27FC236}">
                  <a16:creationId xmlns:a16="http://schemas.microsoft.com/office/drawing/2014/main" id="{52EA7F58-D88B-44F1-A08C-63E4C3741C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022553" y="740535"/>
              <a:ext cx="8067648" cy="38650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268310</xdr:colOff>
      <xdr:row>1</xdr:row>
      <xdr:rowOff>21465</xdr:rowOff>
    </xdr:from>
    <xdr:to>
      <xdr:col>28</xdr:col>
      <xdr:colOff>68606</xdr:colOff>
      <xdr:row>23</xdr:row>
      <xdr:rowOff>115746</xdr:rowOff>
    </xdr:to>
    <xdr:sp macro="" textlink="">
      <xdr:nvSpPr>
        <xdr:cNvPr id="55" name="Rectangle: Rounded Corners 54">
          <a:extLst>
            <a:ext uri="{FF2B5EF4-FFF2-40B4-BE49-F238E27FC236}">
              <a16:creationId xmlns:a16="http://schemas.microsoft.com/office/drawing/2014/main" id="{48D9D4C6-E00A-952D-A769-F14AC45672FE}"/>
            </a:ext>
          </a:extLst>
        </xdr:cNvPr>
        <xdr:cNvSpPr/>
      </xdr:nvSpPr>
      <xdr:spPr>
        <a:xfrm>
          <a:off x="9884943" y="773819"/>
          <a:ext cx="8163005" cy="4126130"/>
        </a:xfrm>
        <a:prstGeom prst="roundRect">
          <a:avLst>
            <a:gd name="adj" fmla="val 3833"/>
          </a:avLst>
        </a:prstGeom>
        <a:noFill/>
        <a:ln>
          <a:solidFill>
            <a:srgbClr val="ECDF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287602</xdr:colOff>
      <xdr:row>26</xdr:row>
      <xdr:rowOff>108412</xdr:rowOff>
    </xdr:from>
    <xdr:to>
      <xdr:col>27</xdr:col>
      <xdr:colOff>588109</xdr:colOff>
      <xdr:row>41</xdr:row>
      <xdr:rowOff>127704</xdr:rowOff>
    </xdr:to>
    <mc:AlternateContent xmlns:mc="http://schemas.openxmlformats.org/markup-compatibility/2006">
      <mc:Choice xmlns:cx1="http://schemas.microsoft.com/office/drawing/2015/9/8/chartex" Requires="cx1">
        <xdr:graphicFrame macro="">
          <xdr:nvGraphicFramePr>
            <xdr:cNvPr id="58" name="Chart 57">
              <a:extLst>
                <a:ext uri="{FF2B5EF4-FFF2-40B4-BE49-F238E27FC236}">
                  <a16:creationId xmlns:a16="http://schemas.microsoft.com/office/drawing/2014/main" id="{B5F2FB75-9DC4-4FCA-BF12-4D807F7537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9934522" y="5450032"/>
              <a:ext cx="8080527" cy="291489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257578</xdr:colOff>
      <xdr:row>24</xdr:row>
      <xdr:rowOff>28938</xdr:rowOff>
    </xdr:from>
    <xdr:to>
      <xdr:col>28</xdr:col>
      <xdr:colOff>107324</xdr:colOff>
      <xdr:row>41</xdr:row>
      <xdr:rowOff>144684</xdr:rowOff>
    </xdr:to>
    <xdr:sp macro="" textlink="">
      <xdr:nvSpPr>
        <xdr:cNvPr id="59" name="Rectangle: Rounded Corners 58">
          <a:extLst>
            <a:ext uri="{FF2B5EF4-FFF2-40B4-BE49-F238E27FC236}">
              <a16:creationId xmlns:a16="http://schemas.microsoft.com/office/drawing/2014/main" id="{7C505750-9486-BDCD-F93F-BE4A004A3718}"/>
            </a:ext>
          </a:extLst>
        </xdr:cNvPr>
        <xdr:cNvSpPr/>
      </xdr:nvSpPr>
      <xdr:spPr>
        <a:xfrm>
          <a:off x="9874211" y="4996406"/>
          <a:ext cx="8212455" cy="3443468"/>
        </a:xfrm>
        <a:prstGeom prst="roundRect">
          <a:avLst>
            <a:gd name="adj" fmla="val 3833"/>
          </a:avLst>
        </a:prstGeom>
        <a:noFill/>
        <a:ln>
          <a:solidFill>
            <a:srgbClr val="ECDF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107322</xdr:colOff>
      <xdr:row>31</xdr:row>
      <xdr:rowOff>55378</xdr:rowOff>
    </xdr:from>
    <xdr:to>
      <xdr:col>14</xdr:col>
      <xdr:colOff>42928</xdr:colOff>
      <xdr:row>31</xdr:row>
      <xdr:rowOff>55378</xdr:rowOff>
    </xdr:to>
    <xdr:cxnSp macro="">
      <xdr:nvCxnSpPr>
        <xdr:cNvPr id="61" name="Straight Connector 60">
          <a:extLst>
            <a:ext uri="{FF2B5EF4-FFF2-40B4-BE49-F238E27FC236}">
              <a16:creationId xmlns:a16="http://schemas.microsoft.com/office/drawing/2014/main" id="{39B56655-666E-01F1-2C15-F4C0302DC18A}"/>
            </a:ext>
          </a:extLst>
        </xdr:cNvPr>
        <xdr:cNvCxnSpPr/>
      </xdr:nvCxnSpPr>
      <xdr:spPr>
        <a:xfrm>
          <a:off x="6471632" y="6333829"/>
          <a:ext cx="3241183" cy="0"/>
        </a:xfrm>
        <a:prstGeom prst="line">
          <a:avLst/>
        </a:prstGeom>
        <a:ln>
          <a:solidFill>
            <a:srgbClr val="7030A0"/>
          </a:solidFill>
        </a:ln>
      </xdr:spPr>
      <xdr:style>
        <a:lnRef idx="3">
          <a:schemeClr val="accent1"/>
        </a:lnRef>
        <a:fillRef idx="0">
          <a:schemeClr val="accent1"/>
        </a:fillRef>
        <a:effectRef idx="2">
          <a:schemeClr val="accent1"/>
        </a:effectRef>
        <a:fontRef idx="minor">
          <a:schemeClr val="tx1"/>
        </a:fontRef>
      </xdr:style>
    </xdr:cxnSp>
    <xdr:clientData/>
  </xdr:twoCellAnchor>
  <xdr:twoCellAnchor editAs="oneCell">
    <xdr:from>
      <xdr:col>10</xdr:col>
      <xdr:colOff>203915</xdr:colOff>
      <xdr:row>15</xdr:row>
      <xdr:rowOff>94741</xdr:rowOff>
    </xdr:from>
    <xdr:to>
      <xdr:col>12</xdr:col>
      <xdr:colOff>772731</xdr:colOff>
      <xdr:row>28</xdr:row>
      <xdr:rowOff>62220</xdr:rowOff>
    </xdr:to>
    <mc:AlternateContent xmlns:mc="http://schemas.openxmlformats.org/markup-compatibility/2006">
      <mc:Choice xmlns:a14="http://schemas.microsoft.com/office/drawing/2010/main" Requires="a14">
        <xdr:graphicFrame macro="">
          <xdr:nvGraphicFramePr>
            <xdr:cNvPr id="1027" name="Category">
              <a:extLst>
                <a:ext uri="{FF2B5EF4-FFF2-40B4-BE49-F238E27FC236}">
                  <a16:creationId xmlns:a16="http://schemas.microsoft.com/office/drawing/2014/main" id="{7D1ADBC6-C0AD-49F4-B18E-109A0C181BB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299915" y="3380866"/>
              <a:ext cx="1968991" cy="2358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12</xdr:col>
      <xdr:colOff>825305</xdr:colOff>
      <xdr:row>15</xdr:row>
      <xdr:rowOff>104388</xdr:rowOff>
    </xdr:from>
    <xdr:to>
      <xdr:col>14</xdr:col>
      <xdr:colOff>192096</xdr:colOff>
      <xdr:row>28</xdr:row>
      <xdr:rowOff>71867</xdr:rowOff>
    </xdr:to>
    <mc:AlternateContent xmlns:mc="http://schemas.openxmlformats.org/markup-compatibility/2006">
      <mc:Choice xmlns:a14="http://schemas.microsoft.com/office/drawing/2010/main" Requires="a14">
        <xdr:graphicFrame macro="">
          <xdr:nvGraphicFramePr>
            <xdr:cNvPr id="1028" name="Months">
              <a:extLst>
                <a:ext uri="{FF2B5EF4-FFF2-40B4-BE49-F238E27FC236}">
                  <a16:creationId xmlns:a16="http://schemas.microsoft.com/office/drawing/2014/main" id="{5564CFD8-61E8-44FE-9228-92994319F75D}"/>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8321480" y="3390513"/>
              <a:ext cx="1519441" cy="2358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14</xdr:col>
      <xdr:colOff>538522</xdr:colOff>
      <xdr:row>25</xdr:row>
      <xdr:rowOff>176882</xdr:rowOff>
    </xdr:from>
    <xdr:to>
      <xdr:col>28</xdr:col>
      <xdr:colOff>81104</xdr:colOff>
      <xdr:row>28</xdr:row>
      <xdr:rowOff>8694</xdr:rowOff>
    </xdr:to>
    <xdr:sp macro="" textlink="'PT2'!V12">
      <xdr:nvSpPr>
        <xdr:cNvPr id="1029" name="TextBox 1028">
          <a:extLst>
            <a:ext uri="{FF2B5EF4-FFF2-40B4-BE49-F238E27FC236}">
              <a16:creationId xmlns:a16="http://schemas.microsoft.com/office/drawing/2014/main" id="{AA1C061D-54CE-8FE9-4DAF-9F41F31F1AAB}"/>
            </a:ext>
          </a:extLst>
        </xdr:cNvPr>
        <xdr:cNvSpPr txBox="1"/>
      </xdr:nvSpPr>
      <xdr:spPr>
        <a:xfrm>
          <a:off x="10155155" y="5327616"/>
          <a:ext cx="7905291" cy="4201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3A4B3F-B8FB-465A-B61A-4A22B8A8E1CE}" type="TxLink">
            <a:rPr lang="en-US" sz="1200" b="1" i="0" u="none" strike="noStrike">
              <a:solidFill>
                <a:schemeClr val="bg2">
                  <a:lumMod val="50000"/>
                </a:schemeClr>
              </a:solidFill>
              <a:latin typeface="Calibri"/>
              <a:ea typeface="Calibri"/>
              <a:cs typeface="Calibri"/>
            </a:rPr>
            <a:pPr/>
            <a:t>Expense by Category - YTD</a:t>
          </a:fld>
          <a:endParaRPr lang="en-IN" sz="1200" b="1">
            <a:solidFill>
              <a:schemeClr val="bg2">
                <a:lumMod val="50000"/>
              </a:schemeClr>
            </a:solidFill>
          </a:endParaRPr>
        </a:p>
      </xdr:txBody>
    </xdr:sp>
    <xdr:clientData/>
  </xdr:twoCellAnchor>
  <xdr:twoCellAnchor>
    <xdr:from>
      <xdr:col>14</xdr:col>
      <xdr:colOff>343437</xdr:colOff>
      <xdr:row>1</xdr:row>
      <xdr:rowOff>53662</xdr:rowOff>
    </xdr:from>
    <xdr:to>
      <xdr:col>27</xdr:col>
      <xdr:colOff>493690</xdr:colOff>
      <xdr:row>2</xdr:row>
      <xdr:rowOff>107324</xdr:rowOff>
    </xdr:to>
    <xdr:sp macro="" textlink="'PT2'!S1">
      <xdr:nvSpPr>
        <xdr:cNvPr id="1030" name="TextBox 1029">
          <a:extLst>
            <a:ext uri="{FF2B5EF4-FFF2-40B4-BE49-F238E27FC236}">
              <a16:creationId xmlns:a16="http://schemas.microsoft.com/office/drawing/2014/main" id="{613BA36C-D175-4D15-AC03-7422D21E012A}"/>
            </a:ext>
          </a:extLst>
        </xdr:cNvPr>
        <xdr:cNvSpPr txBox="1"/>
      </xdr:nvSpPr>
      <xdr:spPr>
        <a:xfrm>
          <a:off x="10013324" y="804930"/>
          <a:ext cx="7952704" cy="2361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67122C-E125-4B91-AEF0-EDDAA5B43201}" type="TxLink">
            <a:rPr lang="en-US" sz="1200" b="1" i="0" u="none" strike="noStrike">
              <a:solidFill>
                <a:schemeClr val="bg2">
                  <a:lumMod val="50000"/>
                </a:schemeClr>
              </a:solidFill>
              <a:latin typeface="+mn-lt"/>
              <a:ea typeface="Calibri"/>
              <a:cs typeface="Calibri"/>
            </a:rPr>
            <a:pPr/>
            <a:t>All Expenses-YTD</a:t>
          </a:fld>
          <a:endParaRPr lang="en-IN" sz="1400" b="1">
            <a:solidFill>
              <a:schemeClr val="bg2">
                <a:lumMod val="50000"/>
              </a:schemeClr>
            </a:solidFill>
            <a:latin typeface="+mn-lt"/>
          </a:endParaRPr>
        </a:p>
      </xdr:txBody>
    </xdr:sp>
    <xdr:clientData/>
  </xdr:twoCellAnchor>
  <xdr:twoCellAnchor>
    <xdr:from>
      <xdr:col>10</xdr:col>
      <xdr:colOff>212201</xdr:colOff>
      <xdr:row>29</xdr:row>
      <xdr:rowOff>38582</xdr:rowOff>
    </xdr:from>
    <xdr:to>
      <xdr:col>14</xdr:col>
      <xdr:colOff>173620</xdr:colOff>
      <xdr:row>42</xdr:row>
      <xdr:rowOff>9645</xdr:rowOff>
    </xdr:to>
    <xdr:sp macro="" textlink="">
      <xdr:nvSpPr>
        <xdr:cNvPr id="4" name="Rectangle: Rounded Corners 3">
          <a:extLst>
            <a:ext uri="{FF2B5EF4-FFF2-40B4-BE49-F238E27FC236}">
              <a16:creationId xmlns:a16="http://schemas.microsoft.com/office/drawing/2014/main" id="{B4531EF0-E137-2B11-1B79-AB6A9CD93B0B}"/>
            </a:ext>
          </a:extLst>
        </xdr:cNvPr>
        <xdr:cNvSpPr/>
      </xdr:nvSpPr>
      <xdr:spPr>
        <a:xfrm>
          <a:off x="6288910" y="5980253"/>
          <a:ext cx="3501343" cy="2507848"/>
        </a:xfrm>
        <a:prstGeom prst="roundRect">
          <a:avLst>
            <a:gd name="adj" fmla="val 3833"/>
          </a:avLst>
        </a:prstGeom>
        <a:noFill/>
        <a:ln>
          <a:solidFill>
            <a:srgbClr val="ECDF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hya_1030" refreshedDate="46041.812043402781" createdVersion="8" refreshedVersion="8" minRefreshableVersion="3" recordCount="747" xr:uid="{CCB4B346-9C65-454D-A47B-5CE0DD233AFD}">
  <cacheSource type="worksheet">
    <worksheetSource name="TRANSCATIONS"/>
  </cacheSource>
  <cacheFields count="10">
    <cacheField name="Account Type" numFmtId="0">
      <sharedItems count="2">
        <s v="Checking"/>
        <s v="Credit"/>
      </sharedItems>
    </cacheField>
    <cacheField name="Date" numFmtId="14">
      <sharedItems containsSemiMixedTypes="0" containsNonDate="0" containsDate="1" containsString="0" minDate="2025-01-01T00:00:00" maxDate="2026-01-20T00:00:00" count="384">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sharedItems>
      <fieldGroup par="9"/>
    </cacheField>
    <cacheField name="Description" numFmtId="0">
      <sharedItems/>
    </cacheField>
    <cacheField name="Debit" numFmtId="0">
      <sharedItems containsSemiMixedTypes="0" containsString="0" containsNumber="1" containsInteger="1" minValue="0" maxValue="7944"/>
    </cacheField>
    <cacheField name="Credit" numFmtId="0">
      <sharedItems containsSemiMixedTypes="0" containsString="0" containsNumber="1" containsInteger="1" minValue="0" maxValue="49182"/>
    </cacheField>
    <cacheField name="Amount" numFmtId="0">
      <sharedItems containsSemiMixedTypes="0" containsString="0" containsNumber="1" containsInteger="1" minValue="-7944" maxValue="49182"/>
    </cacheField>
    <cacheField name="Sub Category" numFmtId="0">
      <sharedItems count="11">
        <s v="Fuel"/>
        <s v="Healthcare"/>
        <s v="Entertainment"/>
        <s v="Food Delivery"/>
        <s v="Shopping"/>
        <s v="Utilities"/>
        <s v="Freelance"/>
        <s v="Cashback"/>
        <s v="Salary"/>
        <s v="Groceries"/>
        <s v="Transport"/>
      </sharedItems>
    </cacheField>
    <cacheField name="Category" numFmtId="0">
      <sharedItems count="6">
        <s v="Travel"/>
        <s v="Health"/>
        <s v="Lifestyle"/>
        <s v="Food"/>
        <s v="Bills"/>
        <s v="Income"/>
      </sharedItems>
    </cacheField>
    <cacheField name="Category Type" numFmtId="0">
      <sharedItems count="2">
        <s v="Expense"/>
        <s v="Income"/>
      </sharedItems>
    </cacheField>
    <cacheField name="Months (Date)" numFmtId="0" databaseField="0">
      <fieldGroup base="1">
        <rangePr groupBy="months" startDate="2025-01-01T00:00:00" endDate="2026-01-20T00:00:00"/>
        <groupItems count="14">
          <s v="&lt;01-01-2025"/>
          <s v="Jan"/>
          <s v="Feb"/>
          <s v="Mar"/>
          <s v="Apr"/>
          <s v="May"/>
          <s v="Jun"/>
          <s v="Jul"/>
          <s v="Aug"/>
          <s v="Sep"/>
          <s v="Oct"/>
          <s v="Nov"/>
          <s v="Dec"/>
          <s v="&gt;20-01-2026"/>
        </groupItems>
      </fieldGroup>
    </cacheField>
  </cacheFields>
  <extLst>
    <ext xmlns:x14="http://schemas.microsoft.com/office/spreadsheetml/2009/9/main" uri="{725AE2AE-9491-48be-B2B4-4EB974FC3084}">
      <x14:pivotCacheDefinition pivotCacheId="15488646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7">
  <r>
    <x v="0"/>
    <x v="0"/>
    <s v="Fuel"/>
    <n v="2796"/>
    <n v="0"/>
    <n v="-2796"/>
    <x v="0"/>
    <x v="0"/>
    <x v="0"/>
  </r>
  <r>
    <x v="0"/>
    <x v="0"/>
    <s v="Healthcare"/>
    <n v="354"/>
    <n v="0"/>
    <n v="-354"/>
    <x v="1"/>
    <x v="1"/>
    <x v="0"/>
  </r>
  <r>
    <x v="1"/>
    <x v="0"/>
    <s v="Entertainment"/>
    <n v="2169"/>
    <n v="0"/>
    <n v="-2169"/>
    <x v="2"/>
    <x v="2"/>
    <x v="0"/>
  </r>
  <r>
    <x v="0"/>
    <x v="1"/>
    <s v="Food Delivery"/>
    <n v="5042"/>
    <n v="0"/>
    <n v="-5042"/>
    <x v="3"/>
    <x v="3"/>
    <x v="0"/>
  </r>
  <r>
    <x v="0"/>
    <x v="2"/>
    <s v="Shopping"/>
    <n v="1482"/>
    <n v="0"/>
    <n v="-1482"/>
    <x v="4"/>
    <x v="2"/>
    <x v="0"/>
  </r>
  <r>
    <x v="0"/>
    <x v="2"/>
    <s v="Utilities"/>
    <n v="5025"/>
    <n v="0"/>
    <n v="-5025"/>
    <x v="5"/>
    <x v="4"/>
    <x v="0"/>
  </r>
  <r>
    <x v="0"/>
    <x v="3"/>
    <s v="Utilities"/>
    <n v="1645"/>
    <n v="0"/>
    <n v="-1645"/>
    <x v="5"/>
    <x v="4"/>
    <x v="0"/>
  </r>
  <r>
    <x v="0"/>
    <x v="3"/>
    <s v="Freelance"/>
    <n v="0"/>
    <n v="18612"/>
    <n v="18612"/>
    <x v="6"/>
    <x v="5"/>
    <x v="1"/>
  </r>
  <r>
    <x v="1"/>
    <x v="4"/>
    <s v="Healthcare"/>
    <n v="6242"/>
    <n v="0"/>
    <n v="-6242"/>
    <x v="1"/>
    <x v="1"/>
    <x v="0"/>
  </r>
  <r>
    <x v="1"/>
    <x v="4"/>
    <s v="Healthcare"/>
    <n v="5590"/>
    <n v="0"/>
    <n v="-5590"/>
    <x v="1"/>
    <x v="1"/>
    <x v="0"/>
  </r>
  <r>
    <x v="0"/>
    <x v="4"/>
    <s v="Shopping"/>
    <n v="5044"/>
    <n v="0"/>
    <n v="-5044"/>
    <x v="4"/>
    <x v="2"/>
    <x v="0"/>
  </r>
  <r>
    <x v="0"/>
    <x v="5"/>
    <s v="Fuel"/>
    <n v="3622"/>
    <n v="0"/>
    <n v="-3622"/>
    <x v="0"/>
    <x v="0"/>
    <x v="0"/>
  </r>
  <r>
    <x v="1"/>
    <x v="6"/>
    <s v="Fuel"/>
    <n v="724"/>
    <n v="0"/>
    <n v="-724"/>
    <x v="0"/>
    <x v="0"/>
    <x v="0"/>
  </r>
  <r>
    <x v="0"/>
    <x v="7"/>
    <s v="Food Delivery"/>
    <n v="3000"/>
    <n v="0"/>
    <n v="-3000"/>
    <x v="3"/>
    <x v="3"/>
    <x v="0"/>
  </r>
  <r>
    <x v="1"/>
    <x v="7"/>
    <s v="Entertainment"/>
    <n v="6371"/>
    <n v="0"/>
    <n v="-6371"/>
    <x v="2"/>
    <x v="2"/>
    <x v="0"/>
  </r>
  <r>
    <x v="1"/>
    <x v="8"/>
    <s v="Healthcare"/>
    <n v="5844"/>
    <n v="0"/>
    <n v="-5844"/>
    <x v="1"/>
    <x v="1"/>
    <x v="0"/>
  </r>
  <r>
    <x v="1"/>
    <x v="8"/>
    <s v="Shopping"/>
    <n v="3464"/>
    <n v="0"/>
    <n v="-3464"/>
    <x v="4"/>
    <x v="2"/>
    <x v="0"/>
  </r>
  <r>
    <x v="1"/>
    <x v="9"/>
    <s v="Utilities"/>
    <n v="6101"/>
    <n v="0"/>
    <n v="-6101"/>
    <x v="5"/>
    <x v="4"/>
    <x v="0"/>
  </r>
  <r>
    <x v="1"/>
    <x v="9"/>
    <s v="Healthcare"/>
    <n v="4960"/>
    <n v="0"/>
    <n v="-4960"/>
    <x v="1"/>
    <x v="1"/>
    <x v="0"/>
  </r>
  <r>
    <x v="1"/>
    <x v="10"/>
    <s v="Entertainment"/>
    <n v="6650"/>
    <n v="0"/>
    <n v="-6650"/>
    <x v="2"/>
    <x v="2"/>
    <x v="0"/>
  </r>
  <r>
    <x v="1"/>
    <x v="10"/>
    <s v="Cashback"/>
    <n v="0"/>
    <n v="41977"/>
    <n v="41977"/>
    <x v="7"/>
    <x v="5"/>
    <x v="1"/>
  </r>
  <r>
    <x v="1"/>
    <x v="10"/>
    <s v="Salary"/>
    <n v="0"/>
    <n v="43782"/>
    <n v="43782"/>
    <x v="8"/>
    <x v="5"/>
    <x v="1"/>
  </r>
  <r>
    <x v="1"/>
    <x v="11"/>
    <s v="Groceries"/>
    <n v="6215"/>
    <n v="0"/>
    <n v="-6215"/>
    <x v="9"/>
    <x v="3"/>
    <x v="0"/>
  </r>
  <r>
    <x v="1"/>
    <x v="12"/>
    <s v="Shopping"/>
    <n v="5112"/>
    <n v="0"/>
    <n v="-5112"/>
    <x v="4"/>
    <x v="2"/>
    <x v="0"/>
  </r>
  <r>
    <x v="0"/>
    <x v="13"/>
    <s v="Shopping"/>
    <n v="931"/>
    <n v="0"/>
    <n v="-931"/>
    <x v="4"/>
    <x v="2"/>
    <x v="0"/>
  </r>
  <r>
    <x v="0"/>
    <x v="13"/>
    <s v="Fuel"/>
    <n v="4819"/>
    <n v="0"/>
    <n v="-4819"/>
    <x v="0"/>
    <x v="0"/>
    <x v="0"/>
  </r>
  <r>
    <x v="1"/>
    <x v="13"/>
    <s v="Fuel"/>
    <n v="4815"/>
    <n v="0"/>
    <n v="-4815"/>
    <x v="0"/>
    <x v="0"/>
    <x v="0"/>
  </r>
  <r>
    <x v="1"/>
    <x v="14"/>
    <s v="Food Delivery"/>
    <n v="3365"/>
    <n v="0"/>
    <n v="-3365"/>
    <x v="3"/>
    <x v="3"/>
    <x v="0"/>
  </r>
  <r>
    <x v="0"/>
    <x v="14"/>
    <s v="Utilities"/>
    <n v="540"/>
    <n v="0"/>
    <n v="-540"/>
    <x v="5"/>
    <x v="4"/>
    <x v="0"/>
  </r>
  <r>
    <x v="0"/>
    <x v="15"/>
    <s v="Food Delivery"/>
    <n v="4779"/>
    <n v="0"/>
    <n v="-4779"/>
    <x v="3"/>
    <x v="3"/>
    <x v="0"/>
  </r>
  <r>
    <x v="1"/>
    <x v="15"/>
    <s v="Utilities"/>
    <n v="5074"/>
    <n v="0"/>
    <n v="-5074"/>
    <x v="5"/>
    <x v="4"/>
    <x v="0"/>
  </r>
  <r>
    <x v="0"/>
    <x v="16"/>
    <s v="Groceries"/>
    <n v="5114"/>
    <n v="0"/>
    <n v="-5114"/>
    <x v="9"/>
    <x v="3"/>
    <x v="0"/>
  </r>
  <r>
    <x v="1"/>
    <x v="17"/>
    <s v="Transport"/>
    <n v="405"/>
    <n v="0"/>
    <n v="-405"/>
    <x v="10"/>
    <x v="0"/>
    <x v="0"/>
  </r>
  <r>
    <x v="1"/>
    <x v="18"/>
    <s v="Groceries"/>
    <n v="3405"/>
    <n v="0"/>
    <n v="-3405"/>
    <x v="9"/>
    <x v="3"/>
    <x v="0"/>
  </r>
  <r>
    <x v="1"/>
    <x v="18"/>
    <s v="Food Delivery"/>
    <n v="1342"/>
    <n v="0"/>
    <n v="-1342"/>
    <x v="3"/>
    <x v="3"/>
    <x v="0"/>
  </r>
  <r>
    <x v="1"/>
    <x v="18"/>
    <s v="Healthcare"/>
    <n v="5145"/>
    <n v="0"/>
    <n v="-5145"/>
    <x v="1"/>
    <x v="1"/>
    <x v="0"/>
  </r>
  <r>
    <x v="1"/>
    <x v="19"/>
    <s v="Transport"/>
    <n v="3048"/>
    <n v="0"/>
    <n v="-3048"/>
    <x v="10"/>
    <x v="0"/>
    <x v="0"/>
  </r>
  <r>
    <x v="1"/>
    <x v="19"/>
    <s v="Healthcare"/>
    <n v="3330"/>
    <n v="0"/>
    <n v="-3330"/>
    <x v="1"/>
    <x v="1"/>
    <x v="0"/>
  </r>
  <r>
    <x v="1"/>
    <x v="20"/>
    <s v="Transport"/>
    <n v="488"/>
    <n v="0"/>
    <n v="-488"/>
    <x v="10"/>
    <x v="0"/>
    <x v="0"/>
  </r>
  <r>
    <x v="0"/>
    <x v="21"/>
    <s v="Fuel"/>
    <n v="4819"/>
    <n v="0"/>
    <n v="-4819"/>
    <x v="0"/>
    <x v="0"/>
    <x v="0"/>
  </r>
  <r>
    <x v="1"/>
    <x v="21"/>
    <s v="Entertainment"/>
    <n v="558"/>
    <n v="0"/>
    <n v="-558"/>
    <x v="2"/>
    <x v="2"/>
    <x v="0"/>
  </r>
  <r>
    <x v="0"/>
    <x v="22"/>
    <s v="Shopping"/>
    <n v="1979"/>
    <n v="0"/>
    <n v="-1979"/>
    <x v="4"/>
    <x v="2"/>
    <x v="0"/>
  </r>
  <r>
    <x v="0"/>
    <x v="23"/>
    <s v="Salary"/>
    <n v="0"/>
    <n v="41998"/>
    <n v="41998"/>
    <x v="8"/>
    <x v="5"/>
    <x v="1"/>
  </r>
  <r>
    <x v="0"/>
    <x v="23"/>
    <s v="Shopping"/>
    <n v="500"/>
    <n v="0"/>
    <n v="-500"/>
    <x v="4"/>
    <x v="2"/>
    <x v="0"/>
  </r>
  <r>
    <x v="1"/>
    <x v="23"/>
    <s v="Groceries"/>
    <n v="2979"/>
    <n v="0"/>
    <n v="-2979"/>
    <x v="9"/>
    <x v="3"/>
    <x v="0"/>
  </r>
  <r>
    <x v="1"/>
    <x v="24"/>
    <s v="Transport"/>
    <n v="1529"/>
    <n v="0"/>
    <n v="-1529"/>
    <x v="10"/>
    <x v="0"/>
    <x v="0"/>
  </r>
  <r>
    <x v="1"/>
    <x v="24"/>
    <s v="Utilities"/>
    <n v="455"/>
    <n v="0"/>
    <n v="-455"/>
    <x v="5"/>
    <x v="4"/>
    <x v="0"/>
  </r>
  <r>
    <x v="0"/>
    <x v="25"/>
    <s v="Cashback"/>
    <n v="0"/>
    <n v="32566"/>
    <n v="32566"/>
    <x v="7"/>
    <x v="5"/>
    <x v="1"/>
  </r>
  <r>
    <x v="1"/>
    <x v="25"/>
    <s v="Salary"/>
    <n v="0"/>
    <n v="30991"/>
    <n v="30991"/>
    <x v="8"/>
    <x v="5"/>
    <x v="1"/>
  </r>
  <r>
    <x v="0"/>
    <x v="26"/>
    <s v="Fuel"/>
    <n v="1025"/>
    <n v="0"/>
    <n v="-1025"/>
    <x v="0"/>
    <x v="0"/>
    <x v="0"/>
  </r>
  <r>
    <x v="1"/>
    <x v="26"/>
    <s v="Shopping"/>
    <n v="4521"/>
    <n v="0"/>
    <n v="-4521"/>
    <x v="4"/>
    <x v="2"/>
    <x v="0"/>
  </r>
  <r>
    <x v="0"/>
    <x v="27"/>
    <s v="Utilities"/>
    <n v="6979"/>
    <n v="0"/>
    <n v="-6979"/>
    <x v="5"/>
    <x v="4"/>
    <x v="0"/>
  </r>
  <r>
    <x v="1"/>
    <x v="27"/>
    <s v="Fuel"/>
    <n v="4512"/>
    <n v="0"/>
    <n v="-4512"/>
    <x v="0"/>
    <x v="0"/>
    <x v="0"/>
  </r>
  <r>
    <x v="0"/>
    <x v="28"/>
    <s v="Entertainment"/>
    <n v="5830"/>
    <n v="0"/>
    <n v="-5830"/>
    <x v="2"/>
    <x v="2"/>
    <x v="0"/>
  </r>
  <r>
    <x v="1"/>
    <x v="28"/>
    <s v="Groceries"/>
    <n v="4876"/>
    <n v="0"/>
    <n v="-4876"/>
    <x v="9"/>
    <x v="3"/>
    <x v="0"/>
  </r>
  <r>
    <x v="0"/>
    <x v="28"/>
    <s v="Shopping"/>
    <n v="3061"/>
    <n v="0"/>
    <n v="-3061"/>
    <x v="4"/>
    <x v="2"/>
    <x v="0"/>
  </r>
  <r>
    <x v="0"/>
    <x v="29"/>
    <s v="Cashback"/>
    <n v="0"/>
    <n v="41578"/>
    <n v="41578"/>
    <x v="7"/>
    <x v="5"/>
    <x v="1"/>
  </r>
  <r>
    <x v="0"/>
    <x v="29"/>
    <s v="Entertainment"/>
    <n v="6795"/>
    <n v="0"/>
    <n v="-6795"/>
    <x v="2"/>
    <x v="2"/>
    <x v="0"/>
  </r>
  <r>
    <x v="1"/>
    <x v="30"/>
    <s v="Freelance"/>
    <n v="0"/>
    <n v="16677"/>
    <n v="16677"/>
    <x v="6"/>
    <x v="5"/>
    <x v="1"/>
  </r>
  <r>
    <x v="1"/>
    <x v="30"/>
    <s v="Utilities"/>
    <n v="5272"/>
    <n v="0"/>
    <n v="-5272"/>
    <x v="5"/>
    <x v="4"/>
    <x v="0"/>
  </r>
  <r>
    <x v="0"/>
    <x v="31"/>
    <s v="Food Delivery"/>
    <n v="1834"/>
    <n v="0"/>
    <n v="-1834"/>
    <x v="3"/>
    <x v="3"/>
    <x v="0"/>
  </r>
  <r>
    <x v="0"/>
    <x v="32"/>
    <s v="Salary"/>
    <n v="0"/>
    <n v="21147"/>
    <n v="21147"/>
    <x v="8"/>
    <x v="5"/>
    <x v="1"/>
  </r>
  <r>
    <x v="1"/>
    <x v="32"/>
    <s v="Food Delivery"/>
    <n v="1176"/>
    <n v="0"/>
    <n v="-1176"/>
    <x v="3"/>
    <x v="3"/>
    <x v="0"/>
  </r>
  <r>
    <x v="0"/>
    <x v="32"/>
    <s v="Salary"/>
    <n v="0"/>
    <n v="16656"/>
    <n v="16656"/>
    <x v="8"/>
    <x v="5"/>
    <x v="1"/>
  </r>
  <r>
    <x v="1"/>
    <x v="33"/>
    <s v="Salary"/>
    <n v="0"/>
    <n v="5958"/>
    <n v="5958"/>
    <x v="8"/>
    <x v="5"/>
    <x v="1"/>
  </r>
  <r>
    <x v="0"/>
    <x v="33"/>
    <s v="Entertainment"/>
    <n v="541"/>
    <n v="0"/>
    <n v="-541"/>
    <x v="2"/>
    <x v="2"/>
    <x v="0"/>
  </r>
  <r>
    <x v="0"/>
    <x v="34"/>
    <s v="Entertainment"/>
    <n v="4886"/>
    <n v="0"/>
    <n v="-4886"/>
    <x v="2"/>
    <x v="2"/>
    <x v="0"/>
  </r>
  <r>
    <x v="1"/>
    <x v="34"/>
    <s v="Transport"/>
    <n v="432"/>
    <n v="0"/>
    <n v="-432"/>
    <x v="10"/>
    <x v="0"/>
    <x v="0"/>
  </r>
  <r>
    <x v="1"/>
    <x v="34"/>
    <s v="Healthcare"/>
    <n v="5960"/>
    <n v="0"/>
    <n v="-5960"/>
    <x v="1"/>
    <x v="1"/>
    <x v="0"/>
  </r>
  <r>
    <x v="0"/>
    <x v="35"/>
    <s v="Transport"/>
    <n v="2323"/>
    <n v="0"/>
    <n v="-2323"/>
    <x v="10"/>
    <x v="0"/>
    <x v="0"/>
  </r>
  <r>
    <x v="0"/>
    <x v="35"/>
    <s v="Healthcare"/>
    <n v="258"/>
    <n v="0"/>
    <n v="-258"/>
    <x v="1"/>
    <x v="1"/>
    <x v="0"/>
  </r>
  <r>
    <x v="0"/>
    <x v="36"/>
    <s v="Cashback"/>
    <n v="0"/>
    <n v="25216"/>
    <n v="25216"/>
    <x v="7"/>
    <x v="5"/>
    <x v="1"/>
  </r>
  <r>
    <x v="0"/>
    <x v="37"/>
    <s v="Cashback"/>
    <n v="0"/>
    <n v="12889"/>
    <n v="12889"/>
    <x v="7"/>
    <x v="5"/>
    <x v="1"/>
  </r>
  <r>
    <x v="1"/>
    <x v="37"/>
    <s v="Food Delivery"/>
    <n v="4866"/>
    <n v="0"/>
    <n v="-4866"/>
    <x v="3"/>
    <x v="3"/>
    <x v="0"/>
  </r>
  <r>
    <x v="1"/>
    <x v="38"/>
    <s v="Transport"/>
    <n v="5991"/>
    <n v="0"/>
    <n v="-5991"/>
    <x v="10"/>
    <x v="0"/>
    <x v="0"/>
  </r>
  <r>
    <x v="0"/>
    <x v="39"/>
    <s v="Cashback"/>
    <n v="0"/>
    <n v="8953"/>
    <n v="8953"/>
    <x v="7"/>
    <x v="5"/>
    <x v="1"/>
  </r>
  <r>
    <x v="0"/>
    <x v="39"/>
    <s v="Fuel"/>
    <n v="1351"/>
    <n v="0"/>
    <n v="-1351"/>
    <x v="0"/>
    <x v="0"/>
    <x v="0"/>
  </r>
  <r>
    <x v="1"/>
    <x v="40"/>
    <s v="Transport"/>
    <n v="370"/>
    <n v="0"/>
    <n v="-370"/>
    <x v="10"/>
    <x v="0"/>
    <x v="0"/>
  </r>
  <r>
    <x v="0"/>
    <x v="40"/>
    <s v="Healthcare"/>
    <n v="2603"/>
    <n v="0"/>
    <n v="-2603"/>
    <x v="1"/>
    <x v="1"/>
    <x v="0"/>
  </r>
  <r>
    <x v="1"/>
    <x v="40"/>
    <s v="Transport"/>
    <n v="5277"/>
    <n v="0"/>
    <n v="-5277"/>
    <x v="10"/>
    <x v="0"/>
    <x v="0"/>
  </r>
  <r>
    <x v="1"/>
    <x v="41"/>
    <s v="Cashback"/>
    <n v="0"/>
    <n v="15093"/>
    <n v="15093"/>
    <x v="7"/>
    <x v="5"/>
    <x v="1"/>
  </r>
  <r>
    <x v="0"/>
    <x v="41"/>
    <s v="Utilities"/>
    <n v="4300"/>
    <n v="0"/>
    <n v="-4300"/>
    <x v="5"/>
    <x v="4"/>
    <x v="0"/>
  </r>
  <r>
    <x v="0"/>
    <x v="42"/>
    <s v="Food Delivery"/>
    <n v="4162"/>
    <n v="0"/>
    <n v="-4162"/>
    <x v="3"/>
    <x v="3"/>
    <x v="0"/>
  </r>
  <r>
    <x v="0"/>
    <x v="43"/>
    <s v="Healthcare"/>
    <n v="5900"/>
    <n v="0"/>
    <n v="-5900"/>
    <x v="1"/>
    <x v="1"/>
    <x v="0"/>
  </r>
  <r>
    <x v="0"/>
    <x v="43"/>
    <s v="Healthcare"/>
    <n v="4408"/>
    <n v="0"/>
    <n v="-4408"/>
    <x v="1"/>
    <x v="1"/>
    <x v="0"/>
  </r>
  <r>
    <x v="1"/>
    <x v="43"/>
    <s v="Transport"/>
    <n v="5406"/>
    <n v="0"/>
    <n v="-5406"/>
    <x v="10"/>
    <x v="0"/>
    <x v="0"/>
  </r>
  <r>
    <x v="1"/>
    <x v="44"/>
    <s v="Transport"/>
    <n v="602"/>
    <n v="0"/>
    <n v="-602"/>
    <x v="10"/>
    <x v="0"/>
    <x v="0"/>
  </r>
  <r>
    <x v="1"/>
    <x v="45"/>
    <s v="Food Delivery"/>
    <n v="3263"/>
    <n v="0"/>
    <n v="-3263"/>
    <x v="3"/>
    <x v="3"/>
    <x v="0"/>
  </r>
  <r>
    <x v="0"/>
    <x v="46"/>
    <s v="Food Delivery"/>
    <n v="1195"/>
    <n v="0"/>
    <n v="-1195"/>
    <x v="3"/>
    <x v="3"/>
    <x v="0"/>
  </r>
  <r>
    <x v="0"/>
    <x v="47"/>
    <s v="Freelance"/>
    <n v="0"/>
    <n v="33525"/>
    <n v="33525"/>
    <x v="6"/>
    <x v="5"/>
    <x v="1"/>
  </r>
  <r>
    <x v="1"/>
    <x v="48"/>
    <s v="Groceries"/>
    <n v="993"/>
    <n v="0"/>
    <n v="-993"/>
    <x v="9"/>
    <x v="3"/>
    <x v="0"/>
  </r>
  <r>
    <x v="1"/>
    <x v="48"/>
    <s v="Freelance"/>
    <n v="0"/>
    <n v="33032"/>
    <n v="33032"/>
    <x v="6"/>
    <x v="5"/>
    <x v="1"/>
  </r>
  <r>
    <x v="0"/>
    <x v="49"/>
    <s v="Entertainment"/>
    <n v="4601"/>
    <n v="0"/>
    <n v="-4601"/>
    <x v="2"/>
    <x v="2"/>
    <x v="0"/>
  </r>
  <r>
    <x v="0"/>
    <x v="49"/>
    <s v="Fuel"/>
    <n v="6043"/>
    <n v="0"/>
    <n v="-6043"/>
    <x v="0"/>
    <x v="0"/>
    <x v="0"/>
  </r>
  <r>
    <x v="1"/>
    <x v="49"/>
    <s v="Salary"/>
    <n v="0"/>
    <n v="38791"/>
    <n v="38791"/>
    <x v="8"/>
    <x v="5"/>
    <x v="1"/>
  </r>
  <r>
    <x v="1"/>
    <x v="50"/>
    <s v="Fuel"/>
    <n v="706"/>
    <n v="0"/>
    <n v="-706"/>
    <x v="0"/>
    <x v="0"/>
    <x v="0"/>
  </r>
  <r>
    <x v="0"/>
    <x v="50"/>
    <s v="Transport"/>
    <n v="735"/>
    <n v="0"/>
    <n v="-735"/>
    <x v="10"/>
    <x v="0"/>
    <x v="0"/>
  </r>
  <r>
    <x v="1"/>
    <x v="51"/>
    <s v="Groceries"/>
    <n v="1864"/>
    <n v="0"/>
    <n v="-1864"/>
    <x v="9"/>
    <x v="3"/>
    <x v="0"/>
  </r>
  <r>
    <x v="1"/>
    <x v="52"/>
    <s v="Transport"/>
    <n v="5590"/>
    <n v="0"/>
    <n v="-5590"/>
    <x v="10"/>
    <x v="0"/>
    <x v="0"/>
  </r>
  <r>
    <x v="1"/>
    <x v="52"/>
    <s v="Cashback"/>
    <n v="0"/>
    <n v="18618"/>
    <n v="18618"/>
    <x v="7"/>
    <x v="5"/>
    <x v="1"/>
  </r>
  <r>
    <x v="1"/>
    <x v="53"/>
    <s v="Shopping"/>
    <n v="1419"/>
    <n v="0"/>
    <n v="-1419"/>
    <x v="4"/>
    <x v="2"/>
    <x v="0"/>
  </r>
  <r>
    <x v="1"/>
    <x v="53"/>
    <s v="Freelance"/>
    <n v="0"/>
    <n v="27393"/>
    <n v="27393"/>
    <x v="6"/>
    <x v="5"/>
    <x v="1"/>
  </r>
  <r>
    <x v="1"/>
    <x v="53"/>
    <s v="Cashback"/>
    <n v="0"/>
    <n v="43561"/>
    <n v="43561"/>
    <x v="7"/>
    <x v="5"/>
    <x v="1"/>
  </r>
  <r>
    <x v="1"/>
    <x v="54"/>
    <s v="Freelance"/>
    <n v="0"/>
    <n v="16168"/>
    <n v="16168"/>
    <x v="6"/>
    <x v="5"/>
    <x v="1"/>
  </r>
  <r>
    <x v="0"/>
    <x v="54"/>
    <s v="Entertainment"/>
    <n v="3669"/>
    <n v="0"/>
    <n v="-3669"/>
    <x v="2"/>
    <x v="2"/>
    <x v="0"/>
  </r>
  <r>
    <x v="0"/>
    <x v="54"/>
    <s v="Healthcare"/>
    <n v="1473"/>
    <n v="0"/>
    <n v="-1473"/>
    <x v="1"/>
    <x v="1"/>
    <x v="0"/>
  </r>
  <r>
    <x v="0"/>
    <x v="55"/>
    <s v="Entertainment"/>
    <n v="4502"/>
    <n v="0"/>
    <n v="-4502"/>
    <x v="2"/>
    <x v="2"/>
    <x v="0"/>
  </r>
  <r>
    <x v="0"/>
    <x v="55"/>
    <s v="Cashback"/>
    <n v="0"/>
    <n v="41093"/>
    <n v="41093"/>
    <x v="7"/>
    <x v="5"/>
    <x v="1"/>
  </r>
  <r>
    <x v="1"/>
    <x v="56"/>
    <s v="Groceries"/>
    <n v="3602"/>
    <n v="0"/>
    <n v="-3602"/>
    <x v="9"/>
    <x v="3"/>
    <x v="0"/>
  </r>
  <r>
    <x v="1"/>
    <x v="56"/>
    <s v="Healthcare"/>
    <n v="6828"/>
    <n v="0"/>
    <n v="-6828"/>
    <x v="1"/>
    <x v="1"/>
    <x v="0"/>
  </r>
  <r>
    <x v="0"/>
    <x v="57"/>
    <s v="Healthcare"/>
    <n v="3908"/>
    <n v="0"/>
    <n v="-3908"/>
    <x v="1"/>
    <x v="1"/>
    <x v="0"/>
  </r>
  <r>
    <x v="1"/>
    <x v="57"/>
    <s v="Entertainment"/>
    <n v="2597"/>
    <n v="0"/>
    <n v="-2597"/>
    <x v="2"/>
    <x v="2"/>
    <x v="0"/>
  </r>
  <r>
    <x v="0"/>
    <x v="58"/>
    <s v="Healthcare"/>
    <n v="1514"/>
    <n v="0"/>
    <n v="-1514"/>
    <x v="1"/>
    <x v="1"/>
    <x v="0"/>
  </r>
  <r>
    <x v="1"/>
    <x v="59"/>
    <s v="Healthcare"/>
    <n v="3455"/>
    <n v="0"/>
    <n v="-3455"/>
    <x v="1"/>
    <x v="1"/>
    <x v="0"/>
  </r>
  <r>
    <x v="1"/>
    <x v="59"/>
    <s v="Food Delivery"/>
    <n v="4252"/>
    <n v="0"/>
    <n v="-4252"/>
    <x v="3"/>
    <x v="3"/>
    <x v="0"/>
  </r>
  <r>
    <x v="1"/>
    <x v="59"/>
    <s v="Shopping"/>
    <n v="1655"/>
    <n v="0"/>
    <n v="-1655"/>
    <x v="4"/>
    <x v="2"/>
    <x v="0"/>
  </r>
  <r>
    <x v="1"/>
    <x v="60"/>
    <s v="Transport"/>
    <n v="4500"/>
    <n v="0"/>
    <n v="-4500"/>
    <x v="10"/>
    <x v="0"/>
    <x v="0"/>
  </r>
  <r>
    <x v="0"/>
    <x v="60"/>
    <s v="Food Delivery"/>
    <n v="628"/>
    <n v="0"/>
    <n v="-628"/>
    <x v="3"/>
    <x v="3"/>
    <x v="0"/>
  </r>
  <r>
    <x v="1"/>
    <x v="60"/>
    <s v="Salary"/>
    <n v="0"/>
    <n v="17826"/>
    <n v="17826"/>
    <x v="8"/>
    <x v="5"/>
    <x v="1"/>
  </r>
  <r>
    <x v="1"/>
    <x v="61"/>
    <s v="Freelance"/>
    <n v="0"/>
    <n v="7812"/>
    <n v="7812"/>
    <x v="6"/>
    <x v="5"/>
    <x v="1"/>
  </r>
  <r>
    <x v="0"/>
    <x v="61"/>
    <s v="Food Delivery"/>
    <n v="1310"/>
    <n v="0"/>
    <n v="-1310"/>
    <x v="3"/>
    <x v="3"/>
    <x v="0"/>
  </r>
  <r>
    <x v="1"/>
    <x v="62"/>
    <s v="Utilities"/>
    <n v="331"/>
    <n v="0"/>
    <n v="-331"/>
    <x v="5"/>
    <x v="4"/>
    <x v="0"/>
  </r>
  <r>
    <x v="1"/>
    <x v="62"/>
    <s v="Shopping"/>
    <n v="291"/>
    <n v="0"/>
    <n v="-291"/>
    <x v="4"/>
    <x v="2"/>
    <x v="0"/>
  </r>
  <r>
    <x v="0"/>
    <x v="62"/>
    <s v="Salary"/>
    <n v="0"/>
    <n v="20678"/>
    <n v="20678"/>
    <x v="8"/>
    <x v="5"/>
    <x v="1"/>
  </r>
  <r>
    <x v="1"/>
    <x v="63"/>
    <s v="Freelance"/>
    <n v="0"/>
    <n v="27972"/>
    <n v="27972"/>
    <x v="6"/>
    <x v="5"/>
    <x v="1"/>
  </r>
  <r>
    <x v="1"/>
    <x v="64"/>
    <s v="Utilities"/>
    <n v="5043"/>
    <n v="0"/>
    <n v="-5043"/>
    <x v="5"/>
    <x v="4"/>
    <x v="0"/>
  </r>
  <r>
    <x v="1"/>
    <x v="65"/>
    <s v="Food Delivery"/>
    <n v="1029"/>
    <n v="0"/>
    <n v="-1029"/>
    <x v="3"/>
    <x v="3"/>
    <x v="0"/>
  </r>
  <r>
    <x v="1"/>
    <x v="65"/>
    <s v="Healthcare"/>
    <n v="6101"/>
    <n v="0"/>
    <n v="-6101"/>
    <x v="1"/>
    <x v="1"/>
    <x v="0"/>
  </r>
  <r>
    <x v="1"/>
    <x v="66"/>
    <s v="Groceries"/>
    <n v="1442"/>
    <n v="0"/>
    <n v="-1442"/>
    <x v="9"/>
    <x v="3"/>
    <x v="0"/>
  </r>
  <r>
    <x v="1"/>
    <x v="67"/>
    <s v="Shopping"/>
    <n v="1781"/>
    <n v="0"/>
    <n v="-1781"/>
    <x v="4"/>
    <x v="2"/>
    <x v="0"/>
  </r>
  <r>
    <x v="1"/>
    <x v="68"/>
    <s v="Cashback"/>
    <n v="0"/>
    <n v="7765"/>
    <n v="7765"/>
    <x v="7"/>
    <x v="5"/>
    <x v="1"/>
  </r>
  <r>
    <x v="0"/>
    <x v="69"/>
    <s v="Transport"/>
    <n v="6676"/>
    <n v="0"/>
    <n v="-6676"/>
    <x v="10"/>
    <x v="0"/>
    <x v="0"/>
  </r>
  <r>
    <x v="1"/>
    <x v="69"/>
    <s v="Groceries"/>
    <n v="3335"/>
    <n v="0"/>
    <n v="-3335"/>
    <x v="9"/>
    <x v="3"/>
    <x v="0"/>
  </r>
  <r>
    <x v="0"/>
    <x v="70"/>
    <s v="Groceries"/>
    <n v="4175"/>
    <n v="0"/>
    <n v="-4175"/>
    <x v="9"/>
    <x v="3"/>
    <x v="0"/>
  </r>
  <r>
    <x v="0"/>
    <x v="70"/>
    <s v="Shopping"/>
    <n v="4151"/>
    <n v="0"/>
    <n v="-4151"/>
    <x v="4"/>
    <x v="2"/>
    <x v="0"/>
  </r>
  <r>
    <x v="0"/>
    <x v="71"/>
    <s v="Salary"/>
    <n v="0"/>
    <n v="16434"/>
    <n v="16434"/>
    <x v="8"/>
    <x v="5"/>
    <x v="1"/>
  </r>
  <r>
    <x v="1"/>
    <x v="71"/>
    <s v="Cashback"/>
    <n v="0"/>
    <n v="41699"/>
    <n v="41699"/>
    <x v="7"/>
    <x v="5"/>
    <x v="1"/>
  </r>
  <r>
    <x v="1"/>
    <x v="71"/>
    <s v="Fuel"/>
    <n v="3712"/>
    <n v="0"/>
    <n v="-3712"/>
    <x v="0"/>
    <x v="0"/>
    <x v="0"/>
  </r>
  <r>
    <x v="0"/>
    <x v="72"/>
    <s v="Utilities"/>
    <n v="4092"/>
    <n v="0"/>
    <n v="-4092"/>
    <x v="5"/>
    <x v="4"/>
    <x v="0"/>
  </r>
  <r>
    <x v="0"/>
    <x v="72"/>
    <s v="Fuel"/>
    <n v="6721"/>
    <n v="0"/>
    <n v="-6721"/>
    <x v="0"/>
    <x v="0"/>
    <x v="0"/>
  </r>
  <r>
    <x v="0"/>
    <x v="72"/>
    <s v="Transport"/>
    <n v="1700"/>
    <n v="0"/>
    <n v="-1700"/>
    <x v="10"/>
    <x v="0"/>
    <x v="0"/>
  </r>
  <r>
    <x v="1"/>
    <x v="73"/>
    <s v="Cashback"/>
    <n v="0"/>
    <n v="40436"/>
    <n v="40436"/>
    <x v="7"/>
    <x v="5"/>
    <x v="1"/>
  </r>
  <r>
    <x v="0"/>
    <x v="74"/>
    <s v="Cashback"/>
    <n v="0"/>
    <n v="42242"/>
    <n v="42242"/>
    <x v="7"/>
    <x v="5"/>
    <x v="1"/>
  </r>
  <r>
    <x v="1"/>
    <x v="74"/>
    <s v="Utilities"/>
    <n v="4168"/>
    <n v="0"/>
    <n v="-4168"/>
    <x v="5"/>
    <x v="4"/>
    <x v="0"/>
  </r>
  <r>
    <x v="0"/>
    <x v="74"/>
    <s v="Healthcare"/>
    <n v="2137"/>
    <n v="0"/>
    <n v="-2137"/>
    <x v="1"/>
    <x v="1"/>
    <x v="0"/>
  </r>
  <r>
    <x v="1"/>
    <x v="75"/>
    <s v="Groceries"/>
    <n v="3605"/>
    <n v="0"/>
    <n v="-3605"/>
    <x v="9"/>
    <x v="3"/>
    <x v="0"/>
  </r>
  <r>
    <x v="0"/>
    <x v="76"/>
    <s v="Fuel"/>
    <n v="633"/>
    <n v="0"/>
    <n v="-633"/>
    <x v="0"/>
    <x v="0"/>
    <x v="0"/>
  </r>
  <r>
    <x v="0"/>
    <x v="77"/>
    <s v="Freelance"/>
    <n v="0"/>
    <n v="21241"/>
    <n v="21241"/>
    <x v="6"/>
    <x v="5"/>
    <x v="1"/>
  </r>
  <r>
    <x v="1"/>
    <x v="77"/>
    <s v="Shopping"/>
    <n v="4532"/>
    <n v="0"/>
    <n v="-4532"/>
    <x v="4"/>
    <x v="2"/>
    <x v="0"/>
  </r>
  <r>
    <x v="0"/>
    <x v="78"/>
    <s v="Utilities"/>
    <n v="6462"/>
    <n v="0"/>
    <n v="-6462"/>
    <x v="5"/>
    <x v="4"/>
    <x v="0"/>
  </r>
  <r>
    <x v="0"/>
    <x v="78"/>
    <s v="Groceries"/>
    <n v="264"/>
    <n v="0"/>
    <n v="-264"/>
    <x v="9"/>
    <x v="3"/>
    <x v="0"/>
  </r>
  <r>
    <x v="1"/>
    <x v="78"/>
    <s v="Groceries"/>
    <n v="3454"/>
    <n v="0"/>
    <n v="-3454"/>
    <x v="9"/>
    <x v="3"/>
    <x v="0"/>
  </r>
  <r>
    <x v="0"/>
    <x v="79"/>
    <s v="Transport"/>
    <n v="5036"/>
    <n v="0"/>
    <n v="-5036"/>
    <x v="10"/>
    <x v="0"/>
    <x v="0"/>
  </r>
  <r>
    <x v="0"/>
    <x v="79"/>
    <s v="Freelance"/>
    <n v="0"/>
    <n v="35240"/>
    <n v="35240"/>
    <x v="6"/>
    <x v="5"/>
    <x v="1"/>
  </r>
  <r>
    <x v="0"/>
    <x v="80"/>
    <s v="Freelance"/>
    <n v="0"/>
    <n v="22646"/>
    <n v="22646"/>
    <x v="6"/>
    <x v="5"/>
    <x v="1"/>
  </r>
  <r>
    <x v="0"/>
    <x v="80"/>
    <s v="Healthcare"/>
    <n v="5909"/>
    <n v="0"/>
    <n v="-5909"/>
    <x v="1"/>
    <x v="1"/>
    <x v="0"/>
  </r>
  <r>
    <x v="0"/>
    <x v="80"/>
    <s v="Food Delivery"/>
    <n v="423"/>
    <n v="0"/>
    <n v="-423"/>
    <x v="3"/>
    <x v="3"/>
    <x v="0"/>
  </r>
  <r>
    <x v="1"/>
    <x v="81"/>
    <s v="Shopping"/>
    <n v="6235"/>
    <n v="0"/>
    <n v="-6235"/>
    <x v="4"/>
    <x v="2"/>
    <x v="0"/>
  </r>
  <r>
    <x v="1"/>
    <x v="82"/>
    <s v="Shopping"/>
    <n v="5001"/>
    <n v="0"/>
    <n v="-5001"/>
    <x v="4"/>
    <x v="2"/>
    <x v="0"/>
  </r>
  <r>
    <x v="1"/>
    <x v="83"/>
    <s v="Freelance"/>
    <n v="0"/>
    <n v="9574"/>
    <n v="9574"/>
    <x v="6"/>
    <x v="5"/>
    <x v="1"/>
  </r>
  <r>
    <x v="1"/>
    <x v="84"/>
    <s v="Utilities"/>
    <n v="5908"/>
    <n v="0"/>
    <n v="-5908"/>
    <x v="5"/>
    <x v="4"/>
    <x v="0"/>
  </r>
  <r>
    <x v="0"/>
    <x v="84"/>
    <s v="Shopping"/>
    <n v="5284"/>
    <n v="0"/>
    <n v="-5284"/>
    <x v="4"/>
    <x v="2"/>
    <x v="0"/>
  </r>
  <r>
    <x v="1"/>
    <x v="85"/>
    <s v="Entertainment"/>
    <n v="3467"/>
    <n v="0"/>
    <n v="-3467"/>
    <x v="2"/>
    <x v="2"/>
    <x v="0"/>
  </r>
  <r>
    <x v="0"/>
    <x v="86"/>
    <s v="Salary"/>
    <n v="0"/>
    <n v="41399"/>
    <n v="41399"/>
    <x v="8"/>
    <x v="5"/>
    <x v="1"/>
  </r>
  <r>
    <x v="0"/>
    <x v="87"/>
    <s v="Healthcare"/>
    <n v="6368"/>
    <n v="0"/>
    <n v="-6368"/>
    <x v="1"/>
    <x v="1"/>
    <x v="0"/>
  </r>
  <r>
    <x v="1"/>
    <x v="87"/>
    <s v="Entertainment"/>
    <n v="2339"/>
    <n v="0"/>
    <n v="-2339"/>
    <x v="2"/>
    <x v="2"/>
    <x v="0"/>
  </r>
  <r>
    <x v="0"/>
    <x v="88"/>
    <s v="Cashback"/>
    <n v="0"/>
    <n v="13435"/>
    <n v="13435"/>
    <x v="7"/>
    <x v="5"/>
    <x v="1"/>
  </r>
  <r>
    <x v="0"/>
    <x v="88"/>
    <s v="Cashback"/>
    <n v="0"/>
    <n v="40106"/>
    <n v="40106"/>
    <x v="7"/>
    <x v="5"/>
    <x v="1"/>
  </r>
  <r>
    <x v="0"/>
    <x v="89"/>
    <s v="Food Delivery"/>
    <n v="4859"/>
    <n v="0"/>
    <n v="-4859"/>
    <x v="3"/>
    <x v="3"/>
    <x v="0"/>
  </r>
  <r>
    <x v="1"/>
    <x v="89"/>
    <s v="Utilities"/>
    <n v="2671"/>
    <n v="0"/>
    <n v="-2671"/>
    <x v="5"/>
    <x v="4"/>
    <x v="0"/>
  </r>
  <r>
    <x v="1"/>
    <x v="90"/>
    <s v="Groceries"/>
    <n v="1781"/>
    <n v="0"/>
    <n v="-1781"/>
    <x v="9"/>
    <x v="3"/>
    <x v="0"/>
  </r>
  <r>
    <x v="1"/>
    <x v="90"/>
    <s v="Groceries"/>
    <n v="5448"/>
    <n v="0"/>
    <n v="-5448"/>
    <x v="9"/>
    <x v="3"/>
    <x v="0"/>
  </r>
  <r>
    <x v="0"/>
    <x v="91"/>
    <s v="Freelance"/>
    <n v="0"/>
    <n v="40477"/>
    <n v="40477"/>
    <x v="6"/>
    <x v="5"/>
    <x v="1"/>
  </r>
  <r>
    <x v="1"/>
    <x v="92"/>
    <s v="Shopping"/>
    <n v="556"/>
    <n v="0"/>
    <n v="-556"/>
    <x v="4"/>
    <x v="2"/>
    <x v="0"/>
  </r>
  <r>
    <x v="1"/>
    <x v="92"/>
    <s v="Utilities"/>
    <n v="3978"/>
    <n v="0"/>
    <n v="-3978"/>
    <x v="5"/>
    <x v="4"/>
    <x v="0"/>
  </r>
  <r>
    <x v="0"/>
    <x v="92"/>
    <s v="Utilities"/>
    <n v="2890"/>
    <n v="0"/>
    <n v="-2890"/>
    <x v="5"/>
    <x v="4"/>
    <x v="0"/>
  </r>
  <r>
    <x v="1"/>
    <x v="93"/>
    <s v="Healthcare"/>
    <n v="159"/>
    <n v="0"/>
    <n v="-159"/>
    <x v="1"/>
    <x v="1"/>
    <x v="0"/>
  </r>
  <r>
    <x v="1"/>
    <x v="93"/>
    <s v="Transport"/>
    <n v="6848"/>
    <n v="0"/>
    <n v="-6848"/>
    <x v="10"/>
    <x v="0"/>
    <x v="0"/>
  </r>
  <r>
    <x v="0"/>
    <x v="94"/>
    <s v="Entertainment"/>
    <n v="3724"/>
    <n v="0"/>
    <n v="-3724"/>
    <x v="2"/>
    <x v="2"/>
    <x v="0"/>
  </r>
  <r>
    <x v="1"/>
    <x v="95"/>
    <s v="Groceries"/>
    <n v="2936"/>
    <n v="0"/>
    <n v="-2936"/>
    <x v="9"/>
    <x v="3"/>
    <x v="0"/>
  </r>
  <r>
    <x v="0"/>
    <x v="95"/>
    <s v="Freelance"/>
    <n v="0"/>
    <n v="33589"/>
    <n v="33589"/>
    <x v="6"/>
    <x v="5"/>
    <x v="1"/>
  </r>
  <r>
    <x v="0"/>
    <x v="95"/>
    <s v="Food Delivery"/>
    <n v="4264"/>
    <n v="0"/>
    <n v="-4264"/>
    <x v="3"/>
    <x v="3"/>
    <x v="0"/>
  </r>
  <r>
    <x v="0"/>
    <x v="96"/>
    <s v="Utilities"/>
    <n v="4850"/>
    <n v="0"/>
    <n v="-4850"/>
    <x v="5"/>
    <x v="4"/>
    <x v="0"/>
  </r>
  <r>
    <x v="0"/>
    <x v="96"/>
    <s v="Transport"/>
    <n v="2726"/>
    <n v="0"/>
    <n v="-2726"/>
    <x v="10"/>
    <x v="0"/>
    <x v="0"/>
  </r>
  <r>
    <x v="1"/>
    <x v="96"/>
    <s v="Salary"/>
    <n v="0"/>
    <n v="34340"/>
    <n v="34340"/>
    <x v="8"/>
    <x v="5"/>
    <x v="1"/>
  </r>
  <r>
    <x v="1"/>
    <x v="97"/>
    <s v="Cashback"/>
    <n v="0"/>
    <n v="13801"/>
    <n v="13801"/>
    <x v="7"/>
    <x v="5"/>
    <x v="1"/>
  </r>
  <r>
    <x v="1"/>
    <x v="98"/>
    <s v="Cashback"/>
    <n v="0"/>
    <n v="16671"/>
    <n v="16671"/>
    <x v="7"/>
    <x v="5"/>
    <x v="1"/>
  </r>
  <r>
    <x v="0"/>
    <x v="99"/>
    <s v="Transport"/>
    <n v="4227"/>
    <n v="0"/>
    <n v="-4227"/>
    <x v="10"/>
    <x v="0"/>
    <x v="0"/>
  </r>
  <r>
    <x v="1"/>
    <x v="99"/>
    <s v="Shopping"/>
    <n v="540"/>
    <n v="0"/>
    <n v="-540"/>
    <x v="4"/>
    <x v="2"/>
    <x v="0"/>
  </r>
  <r>
    <x v="0"/>
    <x v="100"/>
    <s v="Transport"/>
    <n v="3226"/>
    <n v="0"/>
    <n v="-3226"/>
    <x v="10"/>
    <x v="0"/>
    <x v="0"/>
  </r>
  <r>
    <x v="0"/>
    <x v="100"/>
    <s v="Healthcare"/>
    <n v="3696"/>
    <n v="0"/>
    <n v="-3696"/>
    <x v="1"/>
    <x v="1"/>
    <x v="0"/>
  </r>
  <r>
    <x v="1"/>
    <x v="101"/>
    <s v="Food Delivery"/>
    <n v="399"/>
    <n v="0"/>
    <n v="-399"/>
    <x v="3"/>
    <x v="3"/>
    <x v="0"/>
  </r>
  <r>
    <x v="0"/>
    <x v="101"/>
    <s v="Shopping"/>
    <n v="3473"/>
    <n v="0"/>
    <n v="-3473"/>
    <x v="4"/>
    <x v="2"/>
    <x v="0"/>
  </r>
  <r>
    <x v="1"/>
    <x v="102"/>
    <s v="Entertainment"/>
    <n v="2094"/>
    <n v="0"/>
    <n v="-2094"/>
    <x v="2"/>
    <x v="2"/>
    <x v="0"/>
  </r>
  <r>
    <x v="0"/>
    <x v="103"/>
    <s v="Utilities"/>
    <n v="4855"/>
    <n v="0"/>
    <n v="-4855"/>
    <x v="5"/>
    <x v="4"/>
    <x v="0"/>
  </r>
  <r>
    <x v="0"/>
    <x v="103"/>
    <s v="Food Delivery"/>
    <n v="6707"/>
    <n v="0"/>
    <n v="-6707"/>
    <x v="3"/>
    <x v="3"/>
    <x v="0"/>
  </r>
  <r>
    <x v="0"/>
    <x v="103"/>
    <s v="Salary"/>
    <n v="0"/>
    <n v="22824"/>
    <n v="22824"/>
    <x v="8"/>
    <x v="5"/>
    <x v="1"/>
  </r>
  <r>
    <x v="0"/>
    <x v="104"/>
    <s v="Healthcare"/>
    <n v="3533"/>
    <n v="0"/>
    <n v="-3533"/>
    <x v="1"/>
    <x v="1"/>
    <x v="0"/>
  </r>
  <r>
    <x v="1"/>
    <x v="104"/>
    <s v="Utilities"/>
    <n v="5873"/>
    <n v="0"/>
    <n v="-5873"/>
    <x v="5"/>
    <x v="4"/>
    <x v="0"/>
  </r>
  <r>
    <x v="0"/>
    <x v="104"/>
    <s v="Salary"/>
    <n v="0"/>
    <n v="42550"/>
    <n v="42550"/>
    <x v="8"/>
    <x v="5"/>
    <x v="1"/>
  </r>
  <r>
    <x v="1"/>
    <x v="105"/>
    <s v="Food Delivery"/>
    <n v="2573"/>
    <n v="0"/>
    <n v="-2573"/>
    <x v="3"/>
    <x v="3"/>
    <x v="0"/>
  </r>
  <r>
    <x v="1"/>
    <x v="106"/>
    <s v="Freelance"/>
    <n v="0"/>
    <n v="10849"/>
    <n v="10849"/>
    <x v="6"/>
    <x v="5"/>
    <x v="1"/>
  </r>
  <r>
    <x v="1"/>
    <x v="107"/>
    <s v="Groceries"/>
    <n v="2624"/>
    <n v="0"/>
    <n v="-2624"/>
    <x v="9"/>
    <x v="3"/>
    <x v="0"/>
  </r>
  <r>
    <x v="0"/>
    <x v="107"/>
    <s v="Healthcare"/>
    <n v="6497"/>
    <n v="0"/>
    <n v="-6497"/>
    <x v="1"/>
    <x v="1"/>
    <x v="0"/>
  </r>
  <r>
    <x v="1"/>
    <x v="108"/>
    <s v="Food Delivery"/>
    <n v="4054"/>
    <n v="0"/>
    <n v="-4054"/>
    <x v="3"/>
    <x v="3"/>
    <x v="0"/>
  </r>
  <r>
    <x v="1"/>
    <x v="108"/>
    <s v="Groceries"/>
    <n v="790"/>
    <n v="0"/>
    <n v="-790"/>
    <x v="9"/>
    <x v="3"/>
    <x v="0"/>
  </r>
  <r>
    <x v="1"/>
    <x v="109"/>
    <s v="Food Delivery"/>
    <n v="1061"/>
    <n v="0"/>
    <n v="-1061"/>
    <x v="3"/>
    <x v="3"/>
    <x v="0"/>
  </r>
  <r>
    <x v="0"/>
    <x v="109"/>
    <s v="Transport"/>
    <n v="510"/>
    <n v="0"/>
    <n v="-510"/>
    <x v="10"/>
    <x v="0"/>
    <x v="0"/>
  </r>
  <r>
    <x v="1"/>
    <x v="110"/>
    <s v="Food Delivery"/>
    <n v="776"/>
    <n v="0"/>
    <n v="-776"/>
    <x v="3"/>
    <x v="3"/>
    <x v="0"/>
  </r>
  <r>
    <x v="1"/>
    <x v="110"/>
    <s v="Food Delivery"/>
    <n v="3541"/>
    <n v="0"/>
    <n v="-3541"/>
    <x v="3"/>
    <x v="3"/>
    <x v="0"/>
  </r>
  <r>
    <x v="1"/>
    <x v="111"/>
    <s v="Shopping"/>
    <n v="3316"/>
    <n v="0"/>
    <n v="-3316"/>
    <x v="4"/>
    <x v="2"/>
    <x v="0"/>
  </r>
  <r>
    <x v="1"/>
    <x v="112"/>
    <s v="Food Delivery"/>
    <n v="4706"/>
    <n v="0"/>
    <n v="-4706"/>
    <x v="3"/>
    <x v="3"/>
    <x v="0"/>
  </r>
  <r>
    <x v="1"/>
    <x v="113"/>
    <s v="Fuel"/>
    <n v="4706"/>
    <n v="0"/>
    <n v="-4706"/>
    <x v="0"/>
    <x v="0"/>
    <x v="0"/>
  </r>
  <r>
    <x v="1"/>
    <x v="113"/>
    <s v="Freelance"/>
    <n v="0"/>
    <n v="40786"/>
    <n v="40786"/>
    <x v="6"/>
    <x v="5"/>
    <x v="1"/>
  </r>
  <r>
    <x v="1"/>
    <x v="113"/>
    <s v="Cashback"/>
    <n v="0"/>
    <n v="35576"/>
    <n v="35576"/>
    <x v="7"/>
    <x v="5"/>
    <x v="1"/>
  </r>
  <r>
    <x v="0"/>
    <x v="114"/>
    <s v="Transport"/>
    <n v="2973"/>
    <n v="0"/>
    <n v="-2973"/>
    <x v="10"/>
    <x v="0"/>
    <x v="0"/>
  </r>
  <r>
    <x v="0"/>
    <x v="114"/>
    <s v="Utilities"/>
    <n v="1964"/>
    <n v="0"/>
    <n v="-1964"/>
    <x v="5"/>
    <x v="4"/>
    <x v="0"/>
  </r>
  <r>
    <x v="1"/>
    <x v="114"/>
    <s v="Food Delivery"/>
    <n v="4368"/>
    <n v="0"/>
    <n v="-4368"/>
    <x v="3"/>
    <x v="3"/>
    <x v="0"/>
  </r>
  <r>
    <x v="1"/>
    <x v="115"/>
    <s v="Food Delivery"/>
    <n v="1235"/>
    <n v="0"/>
    <n v="-1235"/>
    <x v="3"/>
    <x v="3"/>
    <x v="0"/>
  </r>
  <r>
    <x v="0"/>
    <x v="116"/>
    <s v="Shopping"/>
    <n v="2012"/>
    <n v="0"/>
    <n v="-2012"/>
    <x v="4"/>
    <x v="2"/>
    <x v="0"/>
  </r>
  <r>
    <x v="0"/>
    <x v="116"/>
    <s v="Shopping"/>
    <n v="4610"/>
    <n v="0"/>
    <n v="-4610"/>
    <x v="4"/>
    <x v="2"/>
    <x v="0"/>
  </r>
  <r>
    <x v="1"/>
    <x v="117"/>
    <s v="Entertainment"/>
    <n v="5268"/>
    <n v="0"/>
    <n v="-5268"/>
    <x v="2"/>
    <x v="2"/>
    <x v="0"/>
  </r>
  <r>
    <x v="1"/>
    <x v="117"/>
    <s v="Food Delivery"/>
    <n v="5580"/>
    <n v="0"/>
    <n v="-5580"/>
    <x v="3"/>
    <x v="3"/>
    <x v="0"/>
  </r>
  <r>
    <x v="0"/>
    <x v="118"/>
    <s v="Freelance"/>
    <n v="0"/>
    <n v="27725"/>
    <n v="27725"/>
    <x v="6"/>
    <x v="5"/>
    <x v="1"/>
  </r>
  <r>
    <x v="1"/>
    <x v="119"/>
    <s v="Entertainment"/>
    <n v="5849"/>
    <n v="0"/>
    <n v="-5849"/>
    <x v="2"/>
    <x v="2"/>
    <x v="0"/>
  </r>
  <r>
    <x v="1"/>
    <x v="120"/>
    <s v="Transport"/>
    <n v="1996"/>
    <n v="0"/>
    <n v="-1996"/>
    <x v="10"/>
    <x v="0"/>
    <x v="0"/>
  </r>
  <r>
    <x v="1"/>
    <x v="120"/>
    <s v="Shopping"/>
    <n v="2180"/>
    <n v="0"/>
    <n v="-2180"/>
    <x v="4"/>
    <x v="2"/>
    <x v="0"/>
  </r>
  <r>
    <x v="1"/>
    <x v="121"/>
    <s v="Food Delivery"/>
    <n v="6805"/>
    <n v="0"/>
    <n v="-6805"/>
    <x v="3"/>
    <x v="3"/>
    <x v="0"/>
  </r>
  <r>
    <x v="1"/>
    <x v="121"/>
    <s v="Cashback"/>
    <n v="0"/>
    <n v="18776"/>
    <n v="18776"/>
    <x v="7"/>
    <x v="5"/>
    <x v="1"/>
  </r>
  <r>
    <x v="0"/>
    <x v="122"/>
    <s v="Freelance"/>
    <n v="0"/>
    <n v="29409"/>
    <n v="29409"/>
    <x v="6"/>
    <x v="5"/>
    <x v="1"/>
  </r>
  <r>
    <x v="0"/>
    <x v="122"/>
    <s v="Cashback"/>
    <n v="0"/>
    <n v="44286"/>
    <n v="44286"/>
    <x v="7"/>
    <x v="5"/>
    <x v="1"/>
  </r>
  <r>
    <x v="0"/>
    <x v="123"/>
    <s v="Groceries"/>
    <n v="338"/>
    <n v="0"/>
    <n v="-338"/>
    <x v="9"/>
    <x v="3"/>
    <x v="0"/>
  </r>
  <r>
    <x v="0"/>
    <x v="123"/>
    <s v="Entertainment"/>
    <n v="6860"/>
    <n v="0"/>
    <n v="-6860"/>
    <x v="2"/>
    <x v="2"/>
    <x v="0"/>
  </r>
  <r>
    <x v="0"/>
    <x v="123"/>
    <s v="Food Delivery"/>
    <n v="4592"/>
    <n v="0"/>
    <n v="-4592"/>
    <x v="3"/>
    <x v="3"/>
    <x v="0"/>
  </r>
  <r>
    <x v="0"/>
    <x v="124"/>
    <s v="Cashback"/>
    <n v="0"/>
    <n v="10115"/>
    <n v="10115"/>
    <x v="7"/>
    <x v="5"/>
    <x v="1"/>
  </r>
  <r>
    <x v="1"/>
    <x v="125"/>
    <s v="Shopping"/>
    <n v="764"/>
    <n v="0"/>
    <n v="-764"/>
    <x v="4"/>
    <x v="2"/>
    <x v="0"/>
  </r>
  <r>
    <x v="0"/>
    <x v="125"/>
    <s v="Shopping"/>
    <n v="5999"/>
    <n v="0"/>
    <n v="-5999"/>
    <x v="4"/>
    <x v="2"/>
    <x v="0"/>
  </r>
  <r>
    <x v="1"/>
    <x v="126"/>
    <s v="Transport"/>
    <n v="4102"/>
    <n v="0"/>
    <n v="-4102"/>
    <x v="10"/>
    <x v="0"/>
    <x v="0"/>
  </r>
  <r>
    <x v="1"/>
    <x v="126"/>
    <s v="Shopping"/>
    <n v="1798"/>
    <n v="0"/>
    <n v="-1798"/>
    <x v="4"/>
    <x v="2"/>
    <x v="0"/>
  </r>
  <r>
    <x v="1"/>
    <x v="127"/>
    <s v="Transport"/>
    <n v="3713"/>
    <n v="0"/>
    <n v="-3713"/>
    <x v="10"/>
    <x v="0"/>
    <x v="0"/>
  </r>
  <r>
    <x v="0"/>
    <x v="127"/>
    <s v="Utilities"/>
    <n v="1303"/>
    <n v="0"/>
    <n v="-1303"/>
    <x v="5"/>
    <x v="4"/>
    <x v="0"/>
  </r>
  <r>
    <x v="1"/>
    <x v="127"/>
    <s v="Entertainment"/>
    <n v="1824"/>
    <n v="0"/>
    <n v="-1824"/>
    <x v="2"/>
    <x v="2"/>
    <x v="0"/>
  </r>
  <r>
    <x v="0"/>
    <x v="128"/>
    <s v="Shopping"/>
    <n v="557"/>
    <n v="0"/>
    <n v="-557"/>
    <x v="4"/>
    <x v="2"/>
    <x v="0"/>
  </r>
  <r>
    <x v="0"/>
    <x v="129"/>
    <s v="Salary"/>
    <n v="0"/>
    <n v="38927"/>
    <n v="38927"/>
    <x v="8"/>
    <x v="5"/>
    <x v="1"/>
  </r>
  <r>
    <x v="1"/>
    <x v="129"/>
    <s v="Fuel"/>
    <n v="1063"/>
    <n v="0"/>
    <n v="-1063"/>
    <x v="0"/>
    <x v="0"/>
    <x v="0"/>
  </r>
  <r>
    <x v="0"/>
    <x v="129"/>
    <s v="Cashback"/>
    <n v="0"/>
    <n v="32503"/>
    <n v="32503"/>
    <x v="7"/>
    <x v="5"/>
    <x v="1"/>
  </r>
  <r>
    <x v="0"/>
    <x v="130"/>
    <s v="Groceries"/>
    <n v="1223"/>
    <n v="0"/>
    <n v="-1223"/>
    <x v="9"/>
    <x v="3"/>
    <x v="0"/>
  </r>
  <r>
    <x v="0"/>
    <x v="130"/>
    <s v="Fuel"/>
    <n v="3608"/>
    <n v="0"/>
    <n v="-3608"/>
    <x v="0"/>
    <x v="0"/>
    <x v="0"/>
  </r>
  <r>
    <x v="1"/>
    <x v="130"/>
    <s v="Entertainment"/>
    <n v="6883"/>
    <n v="0"/>
    <n v="-6883"/>
    <x v="2"/>
    <x v="2"/>
    <x v="0"/>
  </r>
  <r>
    <x v="0"/>
    <x v="131"/>
    <s v="Salary"/>
    <n v="0"/>
    <n v="18573"/>
    <n v="18573"/>
    <x v="8"/>
    <x v="5"/>
    <x v="1"/>
  </r>
  <r>
    <x v="0"/>
    <x v="131"/>
    <s v="Cashback"/>
    <n v="0"/>
    <n v="22811"/>
    <n v="22811"/>
    <x v="7"/>
    <x v="5"/>
    <x v="1"/>
  </r>
  <r>
    <x v="1"/>
    <x v="132"/>
    <s v="Utilities"/>
    <n v="5524"/>
    <n v="0"/>
    <n v="-5524"/>
    <x v="5"/>
    <x v="4"/>
    <x v="0"/>
  </r>
  <r>
    <x v="0"/>
    <x v="132"/>
    <s v="Fuel"/>
    <n v="3382"/>
    <n v="0"/>
    <n v="-3382"/>
    <x v="0"/>
    <x v="0"/>
    <x v="0"/>
  </r>
  <r>
    <x v="1"/>
    <x v="132"/>
    <s v="Entertainment"/>
    <n v="5680"/>
    <n v="0"/>
    <n v="-5680"/>
    <x v="2"/>
    <x v="2"/>
    <x v="0"/>
  </r>
  <r>
    <x v="1"/>
    <x v="133"/>
    <s v="Utilities"/>
    <n v="4748"/>
    <n v="0"/>
    <n v="-4748"/>
    <x v="5"/>
    <x v="4"/>
    <x v="0"/>
  </r>
  <r>
    <x v="1"/>
    <x v="133"/>
    <s v="Entertainment"/>
    <n v="487"/>
    <n v="0"/>
    <n v="-487"/>
    <x v="2"/>
    <x v="2"/>
    <x v="0"/>
  </r>
  <r>
    <x v="1"/>
    <x v="134"/>
    <s v="Freelance"/>
    <n v="0"/>
    <n v="16106"/>
    <n v="16106"/>
    <x v="6"/>
    <x v="5"/>
    <x v="1"/>
  </r>
  <r>
    <x v="0"/>
    <x v="134"/>
    <s v="Healthcare"/>
    <n v="6330"/>
    <n v="0"/>
    <n v="-6330"/>
    <x v="1"/>
    <x v="1"/>
    <x v="0"/>
  </r>
  <r>
    <x v="1"/>
    <x v="134"/>
    <s v="Transport"/>
    <n v="775"/>
    <n v="0"/>
    <n v="-775"/>
    <x v="10"/>
    <x v="0"/>
    <x v="0"/>
  </r>
  <r>
    <x v="0"/>
    <x v="135"/>
    <s v="Transport"/>
    <n v="4553"/>
    <n v="0"/>
    <n v="-4553"/>
    <x v="10"/>
    <x v="0"/>
    <x v="0"/>
  </r>
  <r>
    <x v="1"/>
    <x v="135"/>
    <s v="Transport"/>
    <n v="5988"/>
    <n v="0"/>
    <n v="-5988"/>
    <x v="10"/>
    <x v="0"/>
    <x v="0"/>
  </r>
  <r>
    <x v="0"/>
    <x v="136"/>
    <s v="Healthcare"/>
    <n v="2132"/>
    <n v="0"/>
    <n v="-2132"/>
    <x v="1"/>
    <x v="1"/>
    <x v="0"/>
  </r>
  <r>
    <x v="1"/>
    <x v="137"/>
    <s v="Cashback"/>
    <n v="0"/>
    <n v="9709"/>
    <n v="9709"/>
    <x v="7"/>
    <x v="5"/>
    <x v="1"/>
  </r>
  <r>
    <x v="0"/>
    <x v="138"/>
    <s v="Healthcare"/>
    <n v="972"/>
    <n v="0"/>
    <n v="-972"/>
    <x v="1"/>
    <x v="1"/>
    <x v="0"/>
  </r>
  <r>
    <x v="0"/>
    <x v="138"/>
    <s v="Salary"/>
    <n v="0"/>
    <n v="20436"/>
    <n v="20436"/>
    <x v="8"/>
    <x v="5"/>
    <x v="1"/>
  </r>
  <r>
    <x v="0"/>
    <x v="139"/>
    <s v="Salary"/>
    <n v="0"/>
    <n v="11165"/>
    <n v="11165"/>
    <x v="8"/>
    <x v="5"/>
    <x v="1"/>
  </r>
  <r>
    <x v="0"/>
    <x v="139"/>
    <s v="Salary"/>
    <n v="0"/>
    <n v="36398"/>
    <n v="36398"/>
    <x v="8"/>
    <x v="5"/>
    <x v="1"/>
  </r>
  <r>
    <x v="0"/>
    <x v="139"/>
    <s v="Fuel"/>
    <n v="6292"/>
    <n v="0"/>
    <n v="-6292"/>
    <x v="0"/>
    <x v="0"/>
    <x v="0"/>
  </r>
  <r>
    <x v="0"/>
    <x v="140"/>
    <s v="Fuel"/>
    <n v="1059"/>
    <n v="0"/>
    <n v="-1059"/>
    <x v="0"/>
    <x v="0"/>
    <x v="0"/>
  </r>
  <r>
    <x v="1"/>
    <x v="140"/>
    <s v="Transport"/>
    <n v="4493"/>
    <n v="0"/>
    <n v="-4493"/>
    <x v="10"/>
    <x v="0"/>
    <x v="0"/>
  </r>
  <r>
    <x v="0"/>
    <x v="141"/>
    <s v="Fuel"/>
    <n v="3719"/>
    <n v="0"/>
    <n v="-3719"/>
    <x v="0"/>
    <x v="0"/>
    <x v="0"/>
  </r>
  <r>
    <x v="1"/>
    <x v="141"/>
    <s v="Healthcare"/>
    <n v="4923"/>
    <n v="0"/>
    <n v="-4923"/>
    <x v="1"/>
    <x v="1"/>
    <x v="0"/>
  </r>
  <r>
    <x v="1"/>
    <x v="142"/>
    <s v="Healthcare"/>
    <n v="6431"/>
    <n v="0"/>
    <n v="-6431"/>
    <x v="1"/>
    <x v="1"/>
    <x v="0"/>
  </r>
  <r>
    <x v="0"/>
    <x v="143"/>
    <s v="Freelance"/>
    <n v="0"/>
    <n v="39483"/>
    <n v="39483"/>
    <x v="6"/>
    <x v="5"/>
    <x v="1"/>
  </r>
  <r>
    <x v="1"/>
    <x v="143"/>
    <s v="Entertainment"/>
    <n v="2615"/>
    <n v="0"/>
    <n v="-2615"/>
    <x v="2"/>
    <x v="2"/>
    <x v="0"/>
  </r>
  <r>
    <x v="1"/>
    <x v="144"/>
    <s v="Transport"/>
    <n v="6471"/>
    <n v="0"/>
    <n v="-6471"/>
    <x v="10"/>
    <x v="0"/>
    <x v="0"/>
  </r>
  <r>
    <x v="0"/>
    <x v="144"/>
    <s v="Groceries"/>
    <n v="3229"/>
    <n v="0"/>
    <n v="-3229"/>
    <x v="9"/>
    <x v="3"/>
    <x v="0"/>
  </r>
  <r>
    <x v="0"/>
    <x v="144"/>
    <s v="Fuel"/>
    <n v="511"/>
    <n v="0"/>
    <n v="-511"/>
    <x v="0"/>
    <x v="0"/>
    <x v="0"/>
  </r>
  <r>
    <x v="1"/>
    <x v="145"/>
    <s v="Entertainment"/>
    <n v="3413"/>
    <n v="0"/>
    <n v="-3413"/>
    <x v="2"/>
    <x v="2"/>
    <x v="0"/>
  </r>
  <r>
    <x v="1"/>
    <x v="145"/>
    <s v="Utilities"/>
    <n v="6877"/>
    <n v="0"/>
    <n v="-6877"/>
    <x v="5"/>
    <x v="4"/>
    <x v="0"/>
  </r>
  <r>
    <x v="0"/>
    <x v="145"/>
    <s v="Food Delivery"/>
    <n v="6274"/>
    <n v="0"/>
    <n v="-6274"/>
    <x v="3"/>
    <x v="3"/>
    <x v="0"/>
  </r>
  <r>
    <x v="0"/>
    <x v="146"/>
    <s v="Shopping"/>
    <n v="2133"/>
    <n v="0"/>
    <n v="-2133"/>
    <x v="4"/>
    <x v="2"/>
    <x v="0"/>
  </r>
  <r>
    <x v="0"/>
    <x v="146"/>
    <s v="Salary"/>
    <n v="0"/>
    <n v="5560"/>
    <n v="5560"/>
    <x v="8"/>
    <x v="5"/>
    <x v="1"/>
  </r>
  <r>
    <x v="1"/>
    <x v="147"/>
    <s v="Freelance"/>
    <n v="0"/>
    <n v="12333"/>
    <n v="12333"/>
    <x v="6"/>
    <x v="5"/>
    <x v="1"/>
  </r>
  <r>
    <x v="1"/>
    <x v="147"/>
    <s v="Groceries"/>
    <n v="4948"/>
    <n v="0"/>
    <n v="-4948"/>
    <x v="9"/>
    <x v="3"/>
    <x v="0"/>
  </r>
  <r>
    <x v="1"/>
    <x v="147"/>
    <s v="Utilities"/>
    <n v="998"/>
    <n v="0"/>
    <n v="-998"/>
    <x v="5"/>
    <x v="4"/>
    <x v="0"/>
  </r>
  <r>
    <x v="1"/>
    <x v="148"/>
    <s v="Entertainment"/>
    <n v="4993"/>
    <n v="0"/>
    <n v="-4993"/>
    <x v="2"/>
    <x v="2"/>
    <x v="0"/>
  </r>
  <r>
    <x v="0"/>
    <x v="148"/>
    <s v="Utilities"/>
    <n v="2878"/>
    <n v="0"/>
    <n v="-2878"/>
    <x v="5"/>
    <x v="4"/>
    <x v="0"/>
  </r>
  <r>
    <x v="0"/>
    <x v="149"/>
    <s v="Freelance"/>
    <n v="0"/>
    <n v="40501"/>
    <n v="40501"/>
    <x v="6"/>
    <x v="5"/>
    <x v="1"/>
  </r>
  <r>
    <x v="0"/>
    <x v="149"/>
    <s v="Entertainment"/>
    <n v="1130"/>
    <n v="0"/>
    <n v="-1130"/>
    <x v="2"/>
    <x v="2"/>
    <x v="0"/>
  </r>
  <r>
    <x v="0"/>
    <x v="150"/>
    <s v="Entertainment"/>
    <n v="6704"/>
    <n v="0"/>
    <n v="-6704"/>
    <x v="2"/>
    <x v="2"/>
    <x v="0"/>
  </r>
  <r>
    <x v="0"/>
    <x v="150"/>
    <s v="Salary"/>
    <n v="0"/>
    <n v="22501"/>
    <n v="22501"/>
    <x v="8"/>
    <x v="5"/>
    <x v="1"/>
  </r>
  <r>
    <x v="1"/>
    <x v="150"/>
    <s v="Fuel"/>
    <n v="5625"/>
    <n v="0"/>
    <n v="-5625"/>
    <x v="0"/>
    <x v="0"/>
    <x v="0"/>
  </r>
  <r>
    <x v="1"/>
    <x v="151"/>
    <s v="Freelance"/>
    <n v="0"/>
    <n v="18999"/>
    <n v="18999"/>
    <x v="6"/>
    <x v="5"/>
    <x v="1"/>
  </r>
  <r>
    <x v="0"/>
    <x v="152"/>
    <s v="Entertainment"/>
    <n v="1111"/>
    <n v="0"/>
    <n v="-1111"/>
    <x v="2"/>
    <x v="2"/>
    <x v="0"/>
  </r>
  <r>
    <x v="1"/>
    <x v="152"/>
    <s v="Freelance"/>
    <n v="0"/>
    <n v="27010"/>
    <n v="27010"/>
    <x v="6"/>
    <x v="5"/>
    <x v="1"/>
  </r>
  <r>
    <x v="0"/>
    <x v="152"/>
    <s v="Food Delivery"/>
    <n v="4501"/>
    <n v="0"/>
    <n v="-4501"/>
    <x v="3"/>
    <x v="3"/>
    <x v="0"/>
  </r>
  <r>
    <x v="1"/>
    <x v="153"/>
    <s v="Entertainment"/>
    <n v="6170"/>
    <n v="0"/>
    <n v="-6170"/>
    <x v="2"/>
    <x v="2"/>
    <x v="0"/>
  </r>
  <r>
    <x v="0"/>
    <x v="153"/>
    <s v="Entertainment"/>
    <n v="2582"/>
    <n v="0"/>
    <n v="-2582"/>
    <x v="2"/>
    <x v="2"/>
    <x v="0"/>
  </r>
  <r>
    <x v="0"/>
    <x v="154"/>
    <s v="Utilities"/>
    <n v="6860"/>
    <n v="0"/>
    <n v="-6860"/>
    <x v="5"/>
    <x v="4"/>
    <x v="0"/>
  </r>
  <r>
    <x v="1"/>
    <x v="155"/>
    <s v="Utilities"/>
    <n v="4038"/>
    <n v="0"/>
    <n v="-4038"/>
    <x v="5"/>
    <x v="4"/>
    <x v="0"/>
  </r>
  <r>
    <x v="1"/>
    <x v="155"/>
    <s v="Salary"/>
    <n v="0"/>
    <n v="38267"/>
    <n v="38267"/>
    <x v="8"/>
    <x v="5"/>
    <x v="1"/>
  </r>
  <r>
    <x v="1"/>
    <x v="156"/>
    <s v="Transport"/>
    <n v="5132"/>
    <n v="0"/>
    <n v="-5132"/>
    <x v="10"/>
    <x v="0"/>
    <x v="0"/>
  </r>
  <r>
    <x v="0"/>
    <x v="157"/>
    <s v="Groceries"/>
    <n v="1763"/>
    <n v="0"/>
    <n v="-1763"/>
    <x v="9"/>
    <x v="3"/>
    <x v="0"/>
  </r>
  <r>
    <x v="1"/>
    <x v="158"/>
    <s v="Freelance"/>
    <n v="0"/>
    <n v="33768"/>
    <n v="33768"/>
    <x v="6"/>
    <x v="5"/>
    <x v="1"/>
  </r>
  <r>
    <x v="1"/>
    <x v="158"/>
    <s v="Transport"/>
    <n v="6029"/>
    <n v="0"/>
    <n v="-6029"/>
    <x v="10"/>
    <x v="0"/>
    <x v="0"/>
  </r>
  <r>
    <x v="0"/>
    <x v="159"/>
    <s v="Cashback"/>
    <n v="0"/>
    <n v="41909"/>
    <n v="41909"/>
    <x v="7"/>
    <x v="5"/>
    <x v="1"/>
  </r>
  <r>
    <x v="1"/>
    <x v="159"/>
    <s v="Shopping"/>
    <n v="4818"/>
    <n v="0"/>
    <n v="-4818"/>
    <x v="4"/>
    <x v="2"/>
    <x v="0"/>
  </r>
  <r>
    <x v="1"/>
    <x v="159"/>
    <s v="Groceries"/>
    <n v="5444"/>
    <n v="0"/>
    <n v="-5444"/>
    <x v="9"/>
    <x v="3"/>
    <x v="0"/>
  </r>
  <r>
    <x v="1"/>
    <x v="160"/>
    <s v="Healthcare"/>
    <n v="6791"/>
    <n v="0"/>
    <n v="-6791"/>
    <x v="1"/>
    <x v="1"/>
    <x v="0"/>
  </r>
  <r>
    <x v="0"/>
    <x v="161"/>
    <s v="Groceries"/>
    <n v="4363"/>
    <n v="0"/>
    <n v="-4363"/>
    <x v="9"/>
    <x v="3"/>
    <x v="0"/>
  </r>
  <r>
    <x v="1"/>
    <x v="162"/>
    <s v="Utilities"/>
    <n v="3475"/>
    <n v="0"/>
    <n v="-3475"/>
    <x v="5"/>
    <x v="4"/>
    <x v="0"/>
  </r>
  <r>
    <x v="0"/>
    <x v="162"/>
    <s v="Utilities"/>
    <n v="5259"/>
    <n v="0"/>
    <n v="-5259"/>
    <x v="5"/>
    <x v="4"/>
    <x v="0"/>
  </r>
  <r>
    <x v="0"/>
    <x v="163"/>
    <s v="Fuel"/>
    <n v="3268"/>
    <n v="0"/>
    <n v="-3268"/>
    <x v="0"/>
    <x v="0"/>
    <x v="0"/>
  </r>
  <r>
    <x v="0"/>
    <x v="164"/>
    <s v="Food Delivery"/>
    <n v="5964"/>
    <n v="0"/>
    <n v="-5964"/>
    <x v="3"/>
    <x v="3"/>
    <x v="0"/>
  </r>
  <r>
    <x v="1"/>
    <x v="165"/>
    <s v="Healthcare"/>
    <n v="3509"/>
    <n v="0"/>
    <n v="-3509"/>
    <x v="1"/>
    <x v="1"/>
    <x v="0"/>
  </r>
  <r>
    <x v="0"/>
    <x v="166"/>
    <s v="Healthcare"/>
    <n v="3601"/>
    <n v="0"/>
    <n v="-3601"/>
    <x v="1"/>
    <x v="1"/>
    <x v="0"/>
  </r>
  <r>
    <x v="1"/>
    <x v="166"/>
    <s v="Freelance"/>
    <n v="0"/>
    <n v="6819"/>
    <n v="6819"/>
    <x v="6"/>
    <x v="5"/>
    <x v="1"/>
  </r>
  <r>
    <x v="0"/>
    <x v="166"/>
    <s v="Entertainment"/>
    <n v="3721"/>
    <n v="0"/>
    <n v="-3721"/>
    <x v="2"/>
    <x v="2"/>
    <x v="0"/>
  </r>
  <r>
    <x v="0"/>
    <x v="167"/>
    <s v="Fuel"/>
    <n v="6565"/>
    <n v="0"/>
    <n v="-6565"/>
    <x v="0"/>
    <x v="0"/>
    <x v="0"/>
  </r>
  <r>
    <x v="1"/>
    <x v="167"/>
    <s v="Entertainment"/>
    <n v="5457"/>
    <n v="0"/>
    <n v="-5457"/>
    <x v="2"/>
    <x v="2"/>
    <x v="0"/>
  </r>
  <r>
    <x v="1"/>
    <x v="168"/>
    <s v="Transport"/>
    <n v="4396"/>
    <n v="0"/>
    <n v="-4396"/>
    <x v="10"/>
    <x v="0"/>
    <x v="0"/>
  </r>
  <r>
    <x v="0"/>
    <x v="168"/>
    <s v="Salary"/>
    <n v="0"/>
    <n v="7648"/>
    <n v="7648"/>
    <x v="8"/>
    <x v="5"/>
    <x v="1"/>
  </r>
  <r>
    <x v="0"/>
    <x v="169"/>
    <s v="Food Delivery"/>
    <n v="6367"/>
    <n v="0"/>
    <n v="-6367"/>
    <x v="3"/>
    <x v="3"/>
    <x v="0"/>
  </r>
  <r>
    <x v="1"/>
    <x v="170"/>
    <s v="Healthcare"/>
    <n v="5180"/>
    <n v="0"/>
    <n v="-5180"/>
    <x v="1"/>
    <x v="1"/>
    <x v="0"/>
  </r>
  <r>
    <x v="1"/>
    <x v="170"/>
    <s v="Groceries"/>
    <n v="6328"/>
    <n v="0"/>
    <n v="-6328"/>
    <x v="9"/>
    <x v="3"/>
    <x v="0"/>
  </r>
  <r>
    <x v="0"/>
    <x v="171"/>
    <s v="Utilities"/>
    <n v="4114"/>
    <n v="0"/>
    <n v="-4114"/>
    <x v="5"/>
    <x v="4"/>
    <x v="0"/>
  </r>
  <r>
    <x v="1"/>
    <x v="171"/>
    <s v="Healthcare"/>
    <n v="3636"/>
    <n v="0"/>
    <n v="-3636"/>
    <x v="1"/>
    <x v="1"/>
    <x v="0"/>
  </r>
  <r>
    <x v="1"/>
    <x v="172"/>
    <s v="Fuel"/>
    <n v="6773"/>
    <n v="0"/>
    <n v="-6773"/>
    <x v="0"/>
    <x v="0"/>
    <x v="0"/>
  </r>
  <r>
    <x v="1"/>
    <x v="172"/>
    <s v="Transport"/>
    <n v="1300"/>
    <n v="0"/>
    <n v="-1300"/>
    <x v="10"/>
    <x v="0"/>
    <x v="0"/>
  </r>
  <r>
    <x v="1"/>
    <x v="172"/>
    <s v="Salary"/>
    <n v="0"/>
    <n v="7684"/>
    <n v="7684"/>
    <x v="8"/>
    <x v="5"/>
    <x v="1"/>
  </r>
  <r>
    <x v="0"/>
    <x v="173"/>
    <s v="Cashback"/>
    <n v="0"/>
    <n v="10945"/>
    <n v="10945"/>
    <x v="7"/>
    <x v="5"/>
    <x v="1"/>
  </r>
  <r>
    <x v="1"/>
    <x v="173"/>
    <s v="Groceries"/>
    <n v="3857"/>
    <n v="0"/>
    <n v="-3857"/>
    <x v="9"/>
    <x v="3"/>
    <x v="0"/>
  </r>
  <r>
    <x v="0"/>
    <x v="174"/>
    <s v="Cashback"/>
    <n v="0"/>
    <n v="37012"/>
    <n v="37012"/>
    <x v="7"/>
    <x v="5"/>
    <x v="1"/>
  </r>
  <r>
    <x v="0"/>
    <x v="174"/>
    <s v="Food Delivery"/>
    <n v="4616"/>
    <n v="0"/>
    <n v="-4616"/>
    <x v="3"/>
    <x v="3"/>
    <x v="0"/>
  </r>
  <r>
    <x v="0"/>
    <x v="175"/>
    <s v="Fuel"/>
    <n v="5661"/>
    <n v="0"/>
    <n v="-5661"/>
    <x v="0"/>
    <x v="0"/>
    <x v="0"/>
  </r>
  <r>
    <x v="0"/>
    <x v="175"/>
    <s v="Entertainment"/>
    <n v="1131"/>
    <n v="0"/>
    <n v="-1131"/>
    <x v="2"/>
    <x v="2"/>
    <x v="0"/>
  </r>
  <r>
    <x v="1"/>
    <x v="175"/>
    <s v="Entertainment"/>
    <n v="5066"/>
    <n v="0"/>
    <n v="-5066"/>
    <x v="2"/>
    <x v="2"/>
    <x v="0"/>
  </r>
  <r>
    <x v="1"/>
    <x v="176"/>
    <s v="Healthcare"/>
    <n v="4364"/>
    <n v="0"/>
    <n v="-4364"/>
    <x v="1"/>
    <x v="1"/>
    <x v="0"/>
  </r>
  <r>
    <x v="1"/>
    <x v="176"/>
    <s v="Utilities"/>
    <n v="4207"/>
    <n v="0"/>
    <n v="-4207"/>
    <x v="5"/>
    <x v="4"/>
    <x v="0"/>
  </r>
  <r>
    <x v="1"/>
    <x v="177"/>
    <s v="Utilities"/>
    <n v="4647"/>
    <n v="0"/>
    <n v="-4647"/>
    <x v="5"/>
    <x v="4"/>
    <x v="0"/>
  </r>
  <r>
    <x v="0"/>
    <x v="177"/>
    <s v="Fuel"/>
    <n v="1290"/>
    <n v="0"/>
    <n v="-1290"/>
    <x v="0"/>
    <x v="0"/>
    <x v="0"/>
  </r>
  <r>
    <x v="1"/>
    <x v="177"/>
    <s v="Transport"/>
    <n v="785"/>
    <n v="0"/>
    <n v="-785"/>
    <x v="10"/>
    <x v="0"/>
    <x v="0"/>
  </r>
  <r>
    <x v="0"/>
    <x v="178"/>
    <s v="Entertainment"/>
    <n v="1270"/>
    <n v="0"/>
    <n v="-1270"/>
    <x v="2"/>
    <x v="2"/>
    <x v="0"/>
  </r>
  <r>
    <x v="1"/>
    <x v="178"/>
    <s v="Entertainment"/>
    <n v="4308"/>
    <n v="0"/>
    <n v="-4308"/>
    <x v="2"/>
    <x v="2"/>
    <x v="0"/>
  </r>
  <r>
    <x v="0"/>
    <x v="179"/>
    <s v="Entertainment"/>
    <n v="4155"/>
    <n v="0"/>
    <n v="-4155"/>
    <x v="2"/>
    <x v="2"/>
    <x v="0"/>
  </r>
  <r>
    <x v="0"/>
    <x v="179"/>
    <s v="Food Delivery"/>
    <n v="5369"/>
    <n v="0"/>
    <n v="-5369"/>
    <x v="3"/>
    <x v="3"/>
    <x v="0"/>
  </r>
  <r>
    <x v="0"/>
    <x v="180"/>
    <s v="Entertainment"/>
    <n v="5679"/>
    <n v="0"/>
    <n v="-5679"/>
    <x v="2"/>
    <x v="2"/>
    <x v="0"/>
  </r>
  <r>
    <x v="1"/>
    <x v="180"/>
    <s v="Shopping"/>
    <n v="1418"/>
    <n v="0"/>
    <n v="-1418"/>
    <x v="4"/>
    <x v="2"/>
    <x v="0"/>
  </r>
  <r>
    <x v="0"/>
    <x v="181"/>
    <s v="Transport"/>
    <n v="1362"/>
    <n v="0"/>
    <n v="-1362"/>
    <x v="10"/>
    <x v="0"/>
    <x v="0"/>
  </r>
  <r>
    <x v="0"/>
    <x v="182"/>
    <s v="Salary"/>
    <n v="0"/>
    <n v="7659"/>
    <n v="7659"/>
    <x v="8"/>
    <x v="5"/>
    <x v="1"/>
  </r>
  <r>
    <x v="0"/>
    <x v="182"/>
    <s v="Groceries"/>
    <n v="7305"/>
    <n v="0"/>
    <n v="-7305"/>
    <x v="9"/>
    <x v="3"/>
    <x v="0"/>
  </r>
  <r>
    <x v="1"/>
    <x v="183"/>
    <s v="Salary"/>
    <n v="0"/>
    <n v="25924"/>
    <n v="25924"/>
    <x v="8"/>
    <x v="5"/>
    <x v="1"/>
  </r>
  <r>
    <x v="1"/>
    <x v="183"/>
    <s v="Entertainment"/>
    <n v="4245"/>
    <n v="0"/>
    <n v="-4245"/>
    <x v="2"/>
    <x v="2"/>
    <x v="0"/>
  </r>
  <r>
    <x v="0"/>
    <x v="183"/>
    <s v="Transport"/>
    <n v="1706"/>
    <n v="0"/>
    <n v="-1706"/>
    <x v="10"/>
    <x v="0"/>
    <x v="0"/>
  </r>
  <r>
    <x v="0"/>
    <x v="184"/>
    <s v="Food Delivery"/>
    <n v="5147"/>
    <n v="0"/>
    <n v="-5147"/>
    <x v="3"/>
    <x v="3"/>
    <x v="0"/>
  </r>
  <r>
    <x v="0"/>
    <x v="184"/>
    <s v="Food Delivery"/>
    <n v="3375"/>
    <n v="0"/>
    <n v="-3375"/>
    <x v="3"/>
    <x v="3"/>
    <x v="0"/>
  </r>
  <r>
    <x v="0"/>
    <x v="185"/>
    <s v="Entertainment"/>
    <n v="6458"/>
    <n v="0"/>
    <n v="-6458"/>
    <x v="2"/>
    <x v="2"/>
    <x v="0"/>
  </r>
  <r>
    <x v="0"/>
    <x v="185"/>
    <s v="Shopping"/>
    <n v="5907"/>
    <n v="0"/>
    <n v="-5907"/>
    <x v="4"/>
    <x v="2"/>
    <x v="0"/>
  </r>
  <r>
    <x v="0"/>
    <x v="185"/>
    <s v="Fuel"/>
    <n v="3385"/>
    <n v="0"/>
    <n v="-3385"/>
    <x v="0"/>
    <x v="0"/>
    <x v="0"/>
  </r>
  <r>
    <x v="1"/>
    <x v="186"/>
    <s v="Cashback"/>
    <n v="0"/>
    <n v="42001"/>
    <n v="42001"/>
    <x v="7"/>
    <x v="5"/>
    <x v="1"/>
  </r>
  <r>
    <x v="0"/>
    <x v="186"/>
    <s v="Food Delivery"/>
    <n v="4363"/>
    <n v="0"/>
    <n v="-4363"/>
    <x v="3"/>
    <x v="3"/>
    <x v="0"/>
  </r>
  <r>
    <x v="1"/>
    <x v="187"/>
    <s v="Shopping"/>
    <n v="2588"/>
    <n v="0"/>
    <n v="-2588"/>
    <x v="4"/>
    <x v="2"/>
    <x v="0"/>
  </r>
  <r>
    <x v="0"/>
    <x v="187"/>
    <s v="Groceries"/>
    <n v="5250"/>
    <n v="0"/>
    <n v="-5250"/>
    <x v="9"/>
    <x v="3"/>
    <x v="0"/>
  </r>
  <r>
    <x v="0"/>
    <x v="188"/>
    <s v="Utilities"/>
    <n v="735"/>
    <n v="0"/>
    <n v="-735"/>
    <x v="5"/>
    <x v="4"/>
    <x v="0"/>
  </r>
  <r>
    <x v="1"/>
    <x v="189"/>
    <s v="Groceries"/>
    <n v="7310"/>
    <n v="0"/>
    <n v="-7310"/>
    <x v="9"/>
    <x v="3"/>
    <x v="0"/>
  </r>
  <r>
    <x v="0"/>
    <x v="189"/>
    <s v="Cashback"/>
    <n v="0"/>
    <n v="35363"/>
    <n v="35363"/>
    <x v="7"/>
    <x v="5"/>
    <x v="1"/>
  </r>
  <r>
    <x v="0"/>
    <x v="190"/>
    <s v="Healthcare"/>
    <n v="4057"/>
    <n v="0"/>
    <n v="-4057"/>
    <x v="1"/>
    <x v="1"/>
    <x v="0"/>
  </r>
  <r>
    <x v="1"/>
    <x v="190"/>
    <s v="Entertainment"/>
    <n v="776"/>
    <n v="0"/>
    <n v="-776"/>
    <x v="2"/>
    <x v="2"/>
    <x v="0"/>
  </r>
  <r>
    <x v="0"/>
    <x v="190"/>
    <s v="Entertainment"/>
    <n v="544"/>
    <n v="0"/>
    <n v="-544"/>
    <x v="2"/>
    <x v="2"/>
    <x v="0"/>
  </r>
  <r>
    <x v="1"/>
    <x v="191"/>
    <s v="Entertainment"/>
    <n v="3935"/>
    <n v="0"/>
    <n v="-3935"/>
    <x v="2"/>
    <x v="2"/>
    <x v="0"/>
  </r>
  <r>
    <x v="1"/>
    <x v="192"/>
    <s v="Entertainment"/>
    <n v="2882"/>
    <n v="0"/>
    <n v="-2882"/>
    <x v="2"/>
    <x v="2"/>
    <x v="0"/>
  </r>
  <r>
    <x v="0"/>
    <x v="192"/>
    <s v="Food Delivery"/>
    <n v="4129"/>
    <n v="0"/>
    <n v="-4129"/>
    <x v="3"/>
    <x v="3"/>
    <x v="0"/>
  </r>
  <r>
    <x v="1"/>
    <x v="192"/>
    <s v="Cashback"/>
    <n v="0"/>
    <n v="45622"/>
    <n v="45622"/>
    <x v="7"/>
    <x v="5"/>
    <x v="1"/>
  </r>
  <r>
    <x v="1"/>
    <x v="193"/>
    <s v="Shopping"/>
    <n v="2209"/>
    <n v="0"/>
    <n v="-2209"/>
    <x v="4"/>
    <x v="2"/>
    <x v="0"/>
  </r>
  <r>
    <x v="1"/>
    <x v="193"/>
    <s v="Entertainment"/>
    <n v="2706"/>
    <n v="0"/>
    <n v="-2706"/>
    <x v="2"/>
    <x v="2"/>
    <x v="0"/>
  </r>
  <r>
    <x v="0"/>
    <x v="193"/>
    <s v="Transport"/>
    <n v="2760"/>
    <n v="0"/>
    <n v="-2760"/>
    <x v="10"/>
    <x v="0"/>
    <x v="0"/>
  </r>
  <r>
    <x v="1"/>
    <x v="194"/>
    <s v="Transport"/>
    <n v="942"/>
    <n v="0"/>
    <n v="-942"/>
    <x v="10"/>
    <x v="0"/>
    <x v="0"/>
  </r>
  <r>
    <x v="0"/>
    <x v="195"/>
    <s v="Shopping"/>
    <n v="5278"/>
    <n v="0"/>
    <n v="-5278"/>
    <x v="4"/>
    <x v="2"/>
    <x v="0"/>
  </r>
  <r>
    <x v="1"/>
    <x v="196"/>
    <s v="Groceries"/>
    <n v="1563"/>
    <n v="0"/>
    <n v="-1563"/>
    <x v="9"/>
    <x v="3"/>
    <x v="0"/>
  </r>
  <r>
    <x v="0"/>
    <x v="197"/>
    <s v="Utilities"/>
    <n v="3247"/>
    <n v="0"/>
    <n v="-3247"/>
    <x v="5"/>
    <x v="4"/>
    <x v="0"/>
  </r>
  <r>
    <x v="0"/>
    <x v="197"/>
    <s v="Shopping"/>
    <n v="871"/>
    <n v="0"/>
    <n v="-871"/>
    <x v="4"/>
    <x v="2"/>
    <x v="0"/>
  </r>
  <r>
    <x v="1"/>
    <x v="198"/>
    <s v="Shopping"/>
    <n v="7941"/>
    <n v="0"/>
    <n v="-7941"/>
    <x v="4"/>
    <x v="2"/>
    <x v="0"/>
  </r>
  <r>
    <x v="0"/>
    <x v="198"/>
    <s v="Fuel"/>
    <n v="2152"/>
    <n v="0"/>
    <n v="-2152"/>
    <x v="0"/>
    <x v="0"/>
    <x v="0"/>
  </r>
  <r>
    <x v="1"/>
    <x v="198"/>
    <s v="Entertainment"/>
    <n v="1487"/>
    <n v="0"/>
    <n v="-1487"/>
    <x v="2"/>
    <x v="2"/>
    <x v="0"/>
  </r>
  <r>
    <x v="1"/>
    <x v="199"/>
    <s v="Entertainment"/>
    <n v="3778"/>
    <n v="0"/>
    <n v="-3778"/>
    <x v="2"/>
    <x v="2"/>
    <x v="0"/>
  </r>
  <r>
    <x v="1"/>
    <x v="199"/>
    <s v="Transport"/>
    <n v="5669"/>
    <n v="0"/>
    <n v="-5669"/>
    <x v="10"/>
    <x v="0"/>
    <x v="0"/>
  </r>
  <r>
    <x v="1"/>
    <x v="200"/>
    <s v="Groceries"/>
    <n v="1743"/>
    <n v="0"/>
    <n v="-1743"/>
    <x v="9"/>
    <x v="3"/>
    <x v="0"/>
  </r>
  <r>
    <x v="0"/>
    <x v="201"/>
    <s v="Food Delivery"/>
    <n v="3072"/>
    <n v="0"/>
    <n v="-3072"/>
    <x v="3"/>
    <x v="3"/>
    <x v="0"/>
  </r>
  <r>
    <x v="1"/>
    <x v="202"/>
    <s v="Food Delivery"/>
    <n v="813"/>
    <n v="0"/>
    <n v="-813"/>
    <x v="3"/>
    <x v="3"/>
    <x v="0"/>
  </r>
  <r>
    <x v="0"/>
    <x v="203"/>
    <s v="Entertainment"/>
    <n v="5179"/>
    <n v="0"/>
    <n v="-5179"/>
    <x v="2"/>
    <x v="2"/>
    <x v="0"/>
  </r>
  <r>
    <x v="1"/>
    <x v="204"/>
    <s v="Fuel"/>
    <n v="262"/>
    <n v="0"/>
    <n v="-262"/>
    <x v="0"/>
    <x v="0"/>
    <x v="0"/>
  </r>
  <r>
    <x v="0"/>
    <x v="204"/>
    <s v="Groceries"/>
    <n v="2731"/>
    <n v="0"/>
    <n v="-2731"/>
    <x v="9"/>
    <x v="3"/>
    <x v="0"/>
  </r>
  <r>
    <x v="1"/>
    <x v="204"/>
    <s v="Food Delivery"/>
    <n v="3231"/>
    <n v="0"/>
    <n v="-3231"/>
    <x v="3"/>
    <x v="3"/>
    <x v="0"/>
  </r>
  <r>
    <x v="1"/>
    <x v="205"/>
    <s v="Cashback"/>
    <n v="0"/>
    <n v="9221"/>
    <n v="9221"/>
    <x v="7"/>
    <x v="5"/>
    <x v="1"/>
  </r>
  <r>
    <x v="1"/>
    <x v="206"/>
    <s v="Entertainment"/>
    <n v="7429"/>
    <n v="0"/>
    <n v="-7429"/>
    <x v="2"/>
    <x v="2"/>
    <x v="0"/>
  </r>
  <r>
    <x v="0"/>
    <x v="206"/>
    <s v="Healthcare"/>
    <n v="7438"/>
    <n v="0"/>
    <n v="-7438"/>
    <x v="1"/>
    <x v="1"/>
    <x v="0"/>
  </r>
  <r>
    <x v="0"/>
    <x v="207"/>
    <s v="Groceries"/>
    <n v="3769"/>
    <n v="0"/>
    <n v="-3769"/>
    <x v="9"/>
    <x v="3"/>
    <x v="0"/>
  </r>
  <r>
    <x v="0"/>
    <x v="207"/>
    <s v="Transport"/>
    <n v="688"/>
    <n v="0"/>
    <n v="-688"/>
    <x v="10"/>
    <x v="0"/>
    <x v="0"/>
  </r>
  <r>
    <x v="1"/>
    <x v="207"/>
    <s v="Healthcare"/>
    <n v="5764"/>
    <n v="0"/>
    <n v="-5764"/>
    <x v="1"/>
    <x v="1"/>
    <x v="0"/>
  </r>
  <r>
    <x v="1"/>
    <x v="208"/>
    <s v="Transport"/>
    <n v="2409"/>
    <n v="0"/>
    <n v="-2409"/>
    <x v="10"/>
    <x v="0"/>
    <x v="0"/>
  </r>
  <r>
    <x v="1"/>
    <x v="208"/>
    <s v="Freelance"/>
    <n v="0"/>
    <n v="47941"/>
    <n v="47941"/>
    <x v="6"/>
    <x v="5"/>
    <x v="1"/>
  </r>
  <r>
    <x v="0"/>
    <x v="209"/>
    <s v="Groceries"/>
    <n v="1726"/>
    <n v="0"/>
    <n v="-1726"/>
    <x v="9"/>
    <x v="3"/>
    <x v="0"/>
  </r>
  <r>
    <x v="0"/>
    <x v="209"/>
    <s v="Utilities"/>
    <n v="2410"/>
    <n v="0"/>
    <n v="-2410"/>
    <x v="5"/>
    <x v="4"/>
    <x v="0"/>
  </r>
  <r>
    <x v="0"/>
    <x v="209"/>
    <s v="Food Delivery"/>
    <n v="4994"/>
    <n v="0"/>
    <n v="-4994"/>
    <x v="3"/>
    <x v="3"/>
    <x v="0"/>
  </r>
  <r>
    <x v="1"/>
    <x v="210"/>
    <s v="Transport"/>
    <n v="465"/>
    <n v="0"/>
    <n v="-465"/>
    <x v="10"/>
    <x v="0"/>
    <x v="0"/>
  </r>
  <r>
    <x v="1"/>
    <x v="210"/>
    <s v="Cashback"/>
    <n v="0"/>
    <n v="22412"/>
    <n v="22412"/>
    <x v="7"/>
    <x v="5"/>
    <x v="1"/>
  </r>
  <r>
    <x v="0"/>
    <x v="211"/>
    <s v="Entertainment"/>
    <n v="841"/>
    <n v="0"/>
    <n v="-841"/>
    <x v="2"/>
    <x v="2"/>
    <x v="0"/>
  </r>
  <r>
    <x v="0"/>
    <x v="212"/>
    <s v="Fuel"/>
    <n v="4318"/>
    <n v="0"/>
    <n v="-4318"/>
    <x v="0"/>
    <x v="0"/>
    <x v="0"/>
  </r>
  <r>
    <x v="1"/>
    <x v="212"/>
    <s v="Cashback"/>
    <n v="0"/>
    <n v="40901"/>
    <n v="40901"/>
    <x v="7"/>
    <x v="5"/>
    <x v="1"/>
  </r>
  <r>
    <x v="0"/>
    <x v="213"/>
    <s v="Food Delivery"/>
    <n v="6013"/>
    <n v="0"/>
    <n v="-6013"/>
    <x v="3"/>
    <x v="3"/>
    <x v="0"/>
  </r>
  <r>
    <x v="1"/>
    <x v="213"/>
    <s v="Transport"/>
    <n v="7279"/>
    <n v="0"/>
    <n v="-7279"/>
    <x v="10"/>
    <x v="0"/>
    <x v="0"/>
  </r>
  <r>
    <x v="0"/>
    <x v="213"/>
    <s v="Shopping"/>
    <n v="5766"/>
    <n v="0"/>
    <n v="-5766"/>
    <x v="4"/>
    <x v="2"/>
    <x v="0"/>
  </r>
  <r>
    <x v="0"/>
    <x v="214"/>
    <s v="Freelance"/>
    <n v="0"/>
    <n v="31568"/>
    <n v="31568"/>
    <x v="6"/>
    <x v="5"/>
    <x v="1"/>
  </r>
  <r>
    <x v="1"/>
    <x v="214"/>
    <s v="Utilities"/>
    <n v="292"/>
    <n v="0"/>
    <n v="-292"/>
    <x v="5"/>
    <x v="4"/>
    <x v="0"/>
  </r>
  <r>
    <x v="0"/>
    <x v="215"/>
    <s v="Shopping"/>
    <n v="5174"/>
    <n v="0"/>
    <n v="-5174"/>
    <x v="4"/>
    <x v="2"/>
    <x v="0"/>
  </r>
  <r>
    <x v="1"/>
    <x v="215"/>
    <s v="Cashback"/>
    <n v="0"/>
    <n v="16582"/>
    <n v="16582"/>
    <x v="7"/>
    <x v="5"/>
    <x v="1"/>
  </r>
  <r>
    <x v="1"/>
    <x v="215"/>
    <s v="Fuel"/>
    <n v="2054"/>
    <n v="0"/>
    <n v="-2054"/>
    <x v="0"/>
    <x v="0"/>
    <x v="0"/>
  </r>
  <r>
    <x v="1"/>
    <x v="216"/>
    <s v="Healthcare"/>
    <n v="6261"/>
    <n v="0"/>
    <n v="-6261"/>
    <x v="1"/>
    <x v="1"/>
    <x v="0"/>
  </r>
  <r>
    <x v="1"/>
    <x v="217"/>
    <s v="Groceries"/>
    <n v="2165"/>
    <n v="0"/>
    <n v="-2165"/>
    <x v="9"/>
    <x v="3"/>
    <x v="0"/>
  </r>
  <r>
    <x v="0"/>
    <x v="217"/>
    <s v="Utilities"/>
    <n v="4622"/>
    <n v="0"/>
    <n v="-4622"/>
    <x v="5"/>
    <x v="4"/>
    <x v="0"/>
  </r>
  <r>
    <x v="1"/>
    <x v="217"/>
    <s v="Transport"/>
    <n v="421"/>
    <n v="0"/>
    <n v="-421"/>
    <x v="10"/>
    <x v="0"/>
    <x v="0"/>
  </r>
  <r>
    <x v="0"/>
    <x v="218"/>
    <s v="Fuel"/>
    <n v="6276"/>
    <n v="0"/>
    <n v="-6276"/>
    <x v="0"/>
    <x v="0"/>
    <x v="0"/>
  </r>
  <r>
    <x v="1"/>
    <x v="218"/>
    <s v="Cashback"/>
    <n v="0"/>
    <n v="25405"/>
    <n v="25405"/>
    <x v="7"/>
    <x v="5"/>
    <x v="1"/>
  </r>
  <r>
    <x v="0"/>
    <x v="219"/>
    <s v="Cashback"/>
    <n v="0"/>
    <n v="33804"/>
    <n v="33804"/>
    <x v="7"/>
    <x v="5"/>
    <x v="1"/>
  </r>
  <r>
    <x v="1"/>
    <x v="220"/>
    <s v="Healthcare"/>
    <n v="6355"/>
    <n v="0"/>
    <n v="-6355"/>
    <x v="1"/>
    <x v="1"/>
    <x v="0"/>
  </r>
  <r>
    <x v="0"/>
    <x v="221"/>
    <s v="Shopping"/>
    <n v="1710"/>
    <n v="0"/>
    <n v="-1710"/>
    <x v="4"/>
    <x v="2"/>
    <x v="0"/>
  </r>
  <r>
    <x v="1"/>
    <x v="221"/>
    <s v="Fuel"/>
    <n v="4210"/>
    <n v="0"/>
    <n v="-4210"/>
    <x v="0"/>
    <x v="0"/>
    <x v="0"/>
  </r>
  <r>
    <x v="0"/>
    <x v="221"/>
    <s v="Healthcare"/>
    <n v="1886"/>
    <n v="0"/>
    <n v="-1886"/>
    <x v="1"/>
    <x v="1"/>
    <x v="0"/>
  </r>
  <r>
    <x v="1"/>
    <x v="222"/>
    <s v="Cashback"/>
    <n v="0"/>
    <n v="34855"/>
    <n v="34855"/>
    <x v="7"/>
    <x v="5"/>
    <x v="1"/>
  </r>
  <r>
    <x v="0"/>
    <x v="223"/>
    <s v="Fuel"/>
    <n v="1498"/>
    <n v="0"/>
    <n v="-1498"/>
    <x v="0"/>
    <x v="0"/>
    <x v="0"/>
  </r>
  <r>
    <x v="1"/>
    <x v="224"/>
    <s v="Food Delivery"/>
    <n v="230"/>
    <n v="0"/>
    <n v="-230"/>
    <x v="3"/>
    <x v="3"/>
    <x v="0"/>
  </r>
  <r>
    <x v="1"/>
    <x v="225"/>
    <s v="Healthcare"/>
    <n v="1813"/>
    <n v="0"/>
    <n v="-1813"/>
    <x v="1"/>
    <x v="1"/>
    <x v="0"/>
  </r>
  <r>
    <x v="1"/>
    <x v="225"/>
    <s v="Food Delivery"/>
    <n v="421"/>
    <n v="0"/>
    <n v="-421"/>
    <x v="3"/>
    <x v="3"/>
    <x v="0"/>
  </r>
  <r>
    <x v="0"/>
    <x v="226"/>
    <s v="Healthcare"/>
    <n v="2934"/>
    <n v="0"/>
    <n v="-2934"/>
    <x v="1"/>
    <x v="1"/>
    <x v="0"/>
  </r>
  <r>
    <x v="1"/>
    <x v="227"/>
    <s v="Healthcare"/>
    <n v="5102"/>
    <n v="0"/>
    <n v="-5102"/>
    <x v="1"/>
    <x v="1"/>
    <x v="0"/>
  </r>
  <r>
    <x v="0"/>
    <x v="227"/>
    <s v="Shopping"/>
    <n v="6354"/>
    <n v="0"/>
    <n v="-6354"/>
    <x v="4"/>
    <x v="2"/>
    <x v="0"/>
  </r>
  <r>
    <x v="1"/>
    <x v="227"/>
    <s v="Cashback"/>
    <n v="0"/>
    <n v="36067"/>
    <n v="36067"/>
    <x v="7"/>
    <x v="5"/>
    <x v="1"/>
  </r>
  <r>
    <x v="0"/>
    <x v="228"/>
    <s v="Utilities"/>
    <n v="7495"/>
    <n v="0"/>
    <n v="-7495"/>
    <x v="5"/>
    <x v="4"/>
    <x v="0"/>
  </r>
  <r>
    <x v="1"/>
    <x v="228"/>
    <s v="Fuel"/>
    <n v="5391"/>
    <n v="0"/>
    <n v="-5391"/>
    <x v="0"/>
    <x v="0"/>
    <x v="0"/>
  </r>
  <r>
    <x v="1"/>
    <x v="228"/>
    <s v="Salary"/>
    <n v="0"/>
    <n v="46439"/>
    <n v="46439"/>
    <x v="8"/>
    <x v="5"/>
    <x v="1"/>
  </r>
  <r>
    <x v="0"/>
    <x v="229"/>
    <s v="Fuel"/>
    <n v="1296"/>
    <n v="0"/>
    <n v="-1296"/>
    <x v="0"/>
    <x v="0"/>
    <x v="0"/>
  </r>
  <r>
    <x v="1"/>
    <x v="229"/>
    <s v="Fuel"/>
    <n v="463"/>
    <n v="0"/>
    <n v="-463"/>
    <x v="0"/>
    <x v="0"/>
    <x v="0"/>
  </r>
  <r>
    <x v="1"/>
    <x v="230"/>
    <s v="Utilities"/>
    <n v="275"/>
    <n v="0"/>
    <n v="-275"/>
    <x v="5"/>
    <x v="4"/>
    <x v="0"/>
  </r>
  <r>
    <x v="0"/>
    <x v="230"/>
    <s v="Shopping"/>
    <n v="673"/>
    <n v="0"/>
    <n v="-673"/>
    <x v="4"/>
    <x v="2"/>
    <x v="0"/>
  </r>
  <r>
    <x v="1"/>
    <x v="231"/>
    <s v="Food Delivery"/>
    <n v="1209"/>
    <n v="0"/>
    <n v="-1209"/>
    <x v="3"/>
    <x v="3"/>
    <x v="0"/>
  </r>
  <r>
    <x v="0"/>
    <x v="231"/>
    <s v="Fuel"/>
    <n v="5071"/>
    <n v="0"/>
    <n v="-5071"/>
    <x v="0"/>
    <x v="0"/>
    <x v="0"/>
  </r>
  <r>
    <x v="1"/>
    <x v="232"/>
    <s v="Utilities"/>
    <n v="3743"/>
    <n v="0"/>
    <n v="-3743"/>
    <x v="5"/>
    <x v="4"/>
    <x v="0"/>
  </r>
  <r>
    <x v="1"/>
    <x v="233"/>
    <s v="Transport"/>
    <n v="3037"/>
    <n v="0"/>
    <n v="-3037"/>
    <x v="10"/>
    <x v="0"/>
    <x v="0"/>
  </r>
  <r>
    <x v="1"/>
    <x v="234"/>
    <s v="Healthcare"/>
    <n v="6089"/>
    <n v="0"/>
    <n v="-6089"/>
    <x v="1"/>
    <x v="1"/>
    <x v="0"/>
  </r>
  <r>
    <x v="0"/>
    <x v="234"/>
    <s v="Healthcare"/>
    <n v="6666"/>
    <n v="0"/>
    <n v="-6666"/>
    <x v="1"/>
    <x v="1"/>
    <x v="0"/>
  </r>
  <r>
    <x v="1"/>
    <x v="234"/>
    <s v="Fuel"/>
    <n v="6546"/>
    <n v="0"/>
    <n v="-6546"/>
    <x v="0"/>
    <x v="0"/>
    <x v="0"/>
  </r>
  <r>
    <x v="0"/>
    <x v="235"/>
    <s v="Utilities"/>
    <n v="4214"/>
    <n v="0"/>
    <n v="-4214"/>
    <x v="5"/>
    <x v="4"/>
    <x v="0"/>
  </r>
  <r>
    <x v="0"/>
    <x v="236"/>
    <s v="Freelance"/>
    <n v="0"/>
    <n v="27426"/>
    <n v="27426"/>
    <x v="6"/>
    <x v="5"/>
    <x v="1"/>
  </r>
  <r>
    <x v="1"/>
    <x v="236"/>
    <s v="Fuel"/>
    <n v="594"/>
    <n v="0"/>
    <n v="-594"/>
    <x v="0"/>
    <x v="0"/>
    <x v="0"/>
  </r>
  <r>
    <x v="0"/>
    <x v="237"/>
    <s v="Transport"/>
    <n v="284"/>
    <n v="0"/>
    <n v="-284"/>
    <x v="10"/>
    <x v="0"/>
    <x v="0"/>
  </r>
  <r>
    <x v="0"/>
    <x v="238"/>
    <s v="Fuel"/>
    <n v="4712"/>
    <n v="0"/>
    <n v="-4712"/>
    <x v="0"/>
    <x v="0"/>
    <x v="0"/>
  </r>
  <r>
    <x v="0"/>
    <x v="239"/>
    <s v="Cashback"/>
    <n v="0"/>
    <n v="32557"/>
    <n v="32557"/>
    <x v="7"/>
    <x v="5"/>
    <x v="1"/>
  </r>
  <r>
    <x v="0"/>
    <x v="240"/>
    <s v="Salary"/>
    <n v="0"/>
    <n v="19646"/>
    <n v="19646"/>
    <x v="8"/>
    <x v="5"/>
    <x v="1"/>
  </r>
  <r>
    <x v="0"/>
    <x v="241"/>
    <s v="Fuel"/>
    <n v="1998"/>
    <n v="0"/>
    <n v="-1998"/>
    <x v="0"/>
    <x v="0"/>
    <x v="0"/>
  </r>
  <r>
    <x v="0"/>
    <x v="241"/>
    <s v="Fuel"/>
    <n v="1868"/>
    <n v="0"/>
    <n v="-1868"/>
    <x v="0"/>
    <x v="0"/>
    <x v="0"/>
  </r>
  <r>
    <x v="0"/>
    <x v="241"/>
    <s v="Entertainment"/>
    <n v="2678"/>
    <n v="0"/>
    <n v="-2678"/>
    <x v="2"/>
    <x v="2"/>
    <x v="0"/>
  </r>
  <r>
    <x v="1"/>
    <x v="242"/>
    <s v="Entertainment"/>
    <n v="481"/>
    <n v="0"/>
    <n v="-481"/>
    <x v="2"/>
    <x v="2"/>
    <x v="0"/>
  </r>
  <r>
    <x v="0"/>
    <x v="242"/>
    <s v="Entertainment"/>
    <n v="6518"/>
    <n v="0"/>
    <n v="-6518"/>
    <x v="2"/>
    <x v="2"/>
    <x v="0"/>
  </r>
  <r>
    <x v="1"/>
    <x v="242"/>
    <s v="Transport"/>
    <n v="510"/>
    <n v="0"/>
    <n v="-510"/>
    <x v="10"/>
    <x v="0"/>
    <x v="0"/>
  </r>
  <r>
    <x v="0"/>
    <x v="243"/>
    <s v="Shopping"/>
    <n v="6558"/>
    <n v="0"/>
    <n v="-6558"/>
    <x v="4"/>
    <x v="2"/>
    <x v="0"/>
  </r>
  <r>
    <x v="1"/>
    <x v="243"/>
    <s v="Transport"/>
    <n v="2568"/>
    <n v="0"/>
    <n v="-2568"/>
    <x v="10"/>
    <x v="0"/>
    <x v="0"/>
  </r>
  <r>
    <x v="1"/>
    <x v="243"/>
    <s v="Shopping"/>
    <n v="3389"/>
    <n v="0"/>
    <n v="-3389"/>
    <x v="4"/>
    <x v="2"/>
    <x v="0"/>
  </r>
  <r>
    <x v="1"/>
    <x v="244"/>
    <s v="Food Delivery"/>
    <n v="1145"/>
    <n v="0"/>
    <n v="-1145"/>
    <x v="3"/>
    <x v="3"/>
    <x v="0"/>
  </r>
  <r>
    <x v="0"/>
    <x v="244"/>
    <s v="Healthcare"/>
    <n v="2860"/>
    <n v="0"/>
    <n v="-2860"/>
    <x v="1"/>
    <x v="1"/>
    <x v="0"/>
  </r>
  <r>
    <x v="0"/>
    <x v="244"/>
    <s v="Transport"/>
    <n v="2754"/>
    <n v="0"/>
    <n v="-2754"/>
    <x v="10"/>
    <x v="0"/>
    <x v="0"/>
  </r>
  <r>
    <x v="0"/>
    <x v="245"/>
    <s v="Shopping"/>
    <n v="5622"/>
    <n v="0"/>
    <n v="-5622"/>
    <x v="4"/>
    <x v="2"/>
    <x v="0"/>
  </r>
  <r>
    <x v="0"/>
    <x v="246"/>
    <s v="Food Delivery"/>
    <n v="3265"/>
    <n v="0"/>
    <n v="-3265"/>
    <x v="3"/>
    <x v="3"/>
    <x v="0"/>
  </r>
  <r>
    <x v="1"/>
    <x v="247"/>
    <s v="Groceries"/>
    <n v="5342"/>
    <n v="0"/>
    <n v="-5342"/>
    <x v="9"/>
    <x v="3"/>
    <x v="0"/>
  </r>
  <r>
    <x v="0"/>
    <x v="247"/>
    <s v="Utilities"/>
    <n v="6144"/>
    <n v="0"/>
    <n v="-6144"/>
    <x v="5"/>
    <x v="4"/>
    <x v="0"/>
  </r>
  <r>
    <x v="1"/>
    <x v="247"/>
    <s v="Shopping"/>
    <n v="5182"/>
    <n v="0"/>
    <n v="-5182"/>
    <x v="4"/>
    <x v="2"/>
    <x v="0"/>
  </r>
  <r>
    <x v="0"/>
    <x v="248"/>
    <s v="Food Delivery"/>
    <n v="3685"/>
    <n v="0"/>
    <n v="-3685"/>
    <x v="3"/>
    <x v="3"/>
    <x v="0"/>
  </r>
  <r>
    <x v="0"/>
    <x v="248"/>
    <s v="Food Delivery"/>
    <n v="1983"/>
    <n v="0"/>
    <n v="-1983"/>
    <x v="3"/>
    <x v="3"/>
    <x v="0"/>
  </r>
  <r>
    <x v="1"/>
    <x v="249"/>
    <s v="Food Delivery"/>
    <n v="5664"/>
    <n v="0"/>
    <n v="-5664"/>
    <x v="3"/>
    <x v="3"/>
    <x v="0"/>
  </r>
  <r>
    <x v="1"/>
    <x v="249"/>
    <s v="Fuel"/>
    <n v="6232"/>
    <n v="0"/>
    <n v="-6232"/>
    <x v="0"/>
    <x v="0"/>
    <x v="0"/>
  </r>
  <r>
    <x v="1"/>
    <x v="249"/>
    <s v="Fuel"/>
    <n v="2494"/>
    <n v="0"/>
    <n v="-2494"/>
    <x v="0"/>
    <x v="0"/>
    <x v="0"/>
  </r>
  <r>
    <x v="0"/>
    <x v="250"/>
    <s v="Utilities"/>
    <n v="4133"/>
    <n v="0"/>
    <n v="-4133"/>
    <x v="5"/>
    <x v="4"/>
    <x v="0"/>
  </r>
  <r>
    <x v="1"/>
    <x v="250"/>
    <s v="Cashback"/>
    <n v="0"/>
    <n v="15555"/>
    <n v="15555"/>
    <x v="7"/>
    <x v="5"/>
    <x v="1"/>
  </r>
  <r>
    <x v="0"/>
    <x v="251"/>
    <s v="Food Delivery"/>
    <n v="2215"/>
    <n v="0"/>
    <n v="-2215"/>
    <x v="3"/>
    <x v="3"/>
    <x v="0"/>
  </r>
  <r>
    <x v="1"/>
    <x v="252"/>
    <s v="Utilities"/>
    <n v="4786"/>
    <n v="0"/>
    <n v="-4786"/>
    <x v="5"/>
    <x v="4"/>
    <x v="0"/>
  </r>
  <r>
    <x v="0"/>
    <x v="252"/>
    <s v="Entertainment"/>
    <n v="427"/>
    <n v="0"/>
    <n v="-427"/>
    <x v="2"/>
    <x v="2"/>
    <x v="0"/>
  </r>
  <r>
    <x v="1"/>
    <x v="253"/>
    <s v="Shopping"/>
    <n v="1935"/>
    <n v="0"/>
    <n v="-1935"/>
    <x v="4"/>
    <x v="2"/>
    <x v="0"/>
  </r>
  <r>
    <x v="0"/>
    <x v="254"/>
    <s v="Groceries"/>
    <n v="7344"/>
    <n v="0"/>
    <n v="-7344"/>
    <x v="9"/>
    <x v="3"/>
    <x v="0"/>
  </r>
  <r>
    <x v="0"/>
    <x v="254"/>
    <s v="Freelance"/>
    <n v="0"/>
    <n v="18435"/>
    <n v="18435"/>
    <x v="6"/>
    <x v="5"/>
    <x v="1"/>
  </r>
  <r>
    <x v="0"/>
    <x v="254"/>
    <s v="Transport"/>
    <n v="5566"/>
    <n v="0"/>
    <n v="-5566"/>
    <x v="10"/>
    <x v="0"/>
    <x v="0"/>
  </r>
  <r>
    <x v="1"/>
    <x v="255"/>
    <s v="Shopping"/>
    <n v="6507"/>
    <n v="0"/>
    <n v="-6507"/>
    <x v="4"/>
    <x v="2"/>
    <x v="0"/>
  </r>
  <r>
    <x v="1"/>
    <x v="255"/>
    <s v="Salary"/>
    <n v="0"/>
    <n v="14970"/>
    <n v="14970"/>
    <x v="8"/>
    <x v="5"/>
    <x v="1"/>
  </r>
  <r>
    <x v="0"/>
    <x v="256"/>
    <s v="Transport"/>
    <n v="3922"/>
    <n v="0"/>
    <n v="-3922"/>
    <x v="10"/>
    <x v="0"/>
    <x v="0"/>
  </r>
  <r>
    <x v="1"/>
    <x v="256"/>
    <s v="Salary"/>
    <n v="0"/>
    <n v="10881"/>
    <n v="10881"/>
    <x v="8"/>
    <x v="5"/>
    <x v="1"/>
  </r>
  <r>
    <x v="0"/>
    <x v="257"/>
    <s v="Transport"/>
    <n v="4380"/>
    <n v="0"/>
    <n v="-4380"/>
    <x v="10"/>
    <x v="0"/>
    <x v="0"/>
  </r>
  <r>
    <x v="1"/>
    <x v="257"/>
    <s v="Shopping"/>
    <n v="3586"/>
    <n v="0"/>
    <n v="-3586"/>
    <x v="4"/>
    <x v="2"/>
    <x v="0"/>
  </r>
  <r>
    <x v="0"/>
    <x v="258"/>
    <s v="Shopping"/>
    <n v="3058"/>
    <n v="0"/>
    <n v="-3058"/>
    <x v="4"/>
    <x v="2"/>
    <x v="0"/>
  </r>
  <r>
    <x v="1"/>
    <x v="258"/>
    <s v="Freelance"/>
    <n v="0"/>
    <n v="36361"/>
    <n v="36361"/>
    <x v="6"/>
    <x v="5"/>
    <x v="1"/>
  </r>
  <r>
    <x v="1"/>
    <x v="259"/>
    <s v="Shopping"/>
    <n v="7131"/>
    <n v="0"/>
    <n v="-7131"/>
    <x v="4"/>
    <x v="2"/>
    <x v="0"/>
  </r>
  <r>
    <x v="1"/>
    <x v="259"/>
    <s v="Utilities"/>
    <n v="1877"/>
    <n v="0"/>
    <n v="-1877"/>
    <x v="5"/>
    <x v="4"/>
    <x v="0"/>
  </r>
  <r>
    <x v="0"/>
    <x v="259"/>
    <s v="Shopping"/>
    <n v="6707"/>
    <n v="0"/>
    <n v="-6707"/>
    <x v="4"/>
    <x v="2"/>
    <x v="0"/>
  </r>
  <r>
    <x v="0"/>
    <x v="260"/>
    <s v="Utilities"/>
    <n v="554"/>
    <n v="0"/>
    <n v="-554"/>
    <x v="5"/>
    <x v="4"/>
    <x v="0"/>
  </r>
  <r>
    <x v="1"/>
    <x v="260"/>
    <s v="Cashback"/>
    <n v="0"/>
    <n v="19967"/>
    <n v="19967"/>
    <x v="7"/>
    <x v="5"/>
    <x v="1"/>
  </r>
  <r>
    <x v="0"/>
    <x v="261"/>
    <s v="Food Delivery"/>
    <n v="1621"/>
    <n v="0"/>
    <n v="-1621"/>
    <x v="3"/>
    <x v="3"/>
    <x v="0"/>
  </r>
  <r>
    <x v="0"/>
    <x v="261"/>
    <s v="Transport"/>
    <n v="7138"/>
    <n v="0"/>
    <n v="-7138"/>
    <x v="10"/>
    <x v="0"/>
    <x v="0"/>
  </r>
  <r>
    <x v="0"/>
    <x v="262"/>
    <s v="Fuel"/>
    <n v="998"/>
    <n v="0"/>
    <n v="-998"/>
    <x v="0"/>
    <x v="0"/>
    <x v="0"/>
  </r>
  <r>
    <x v="1"/>
    <x v="262"/>
    <s v="Freelance"/>
    <n v="0"/>
    <n v="22565"/>
    <n v="22565"/>
    <x v="6"/>
    <x v="5"/>
    <x v="1"/>
  </r>
  <r>
    <x v="1"/>
    <x v="263"/>
    <s v="Entertainment"/>
    <n v="6684"/>
    <n v="0"/>
    <n v="-6684"/>
    <x v="2"/>
    <x v="2"/>
    <x v="0"/>
  </r>
  <r>
    <x v="1"/>
    <x v="263"/>
    <s v="Food Delivery"/>
    <n v="2199"/>
    <n v="0"/>
    <n v="-2199"/>
    <x v="3"/>
    <x v="3"/>
    <x v="0"/>
  </r>
  <r>
    <x v="0"/>
    <x v="264"/>
    <s v="Shopping"/>
    <n v="6928"/>
    <n v="0"/>
    <n v="-6928"/>
    <x v="4"/>
    <x v="2"/>
    <x v="0"/>
  </r>
  <r>
    <x v="0"/>
    <x v="264"/>
    <s v="Groceries"/>
    <n v="5261"/>
    <n v="0"/>
    <n v="-5261"/>
    <x v="9"/>
    <x v="3"/>
    <x v="0"/>
  </r>
  <r>
    <x v="1"/>
    <x v="265"/>
    <s v="Healthcare"/>
    <n v="6030"/>
    <n v="0"/>
    <n v="-6030"/>
    <x v="1"/>
    <x v="1"/>
    <x v="0"/>
  </r>
  <r>
    <x v="0"/>
    <x v="266"/>
    <s v="Transport"/>
    <n v="6092"/>
    <n v="0"/>
    <n v="-6092"/>
    <x v="10"/>
    <x v="0"/>
    <x v="0"/>
  </r>
  <r>
    <x v="0"/>
    <x v="267"/>
    <s v="Entertainment"/>
    <n v="7667"/>
    <n v="0"/>
    <n v="-7667"/>
    <x v="2"/>
    <x v="2"/>
    <x v="0"/>
  </r>
  <r>
    <x v="1"/>
    <x v="268"/>
    <s v="Transport"/>
    <n v="6894"/>
    <n v="0"/>
    <n v="-6894"/>
    <x v="10"/>
    <x v="0"/>
    <x v="0"/>
  </r>
  <r>
    <x v="0"/>
    <x v="268"/>
    <s v="Food Delivery"/>
    <n v="6119"/>
    <n v="0"/>
    <n v="-6119"/>
    <x v="3"/>
    <x v="3"/>
    <x v="0"/>
  </r>
  <r>
    <x v="1"/>
    <x v="268"/>
    <s v="Transport"/>
    <n v="6112"/>
    <n v="0"/>
    <n v="-6112"/>
    <x v="10"/>
    <x v="0"/>
    <x v="0"/>
  </r>
  <r>
    <x v="0"/>
    <x v="269"/>
    <s v="Healthcare"/>
    <n v="937"/>
    <n v="0"/>
    <n v="-937"/>
    <x v="1"/>
    <x v="1"/>
    <x v="0"/>
  </r>
  <r>
    <x v="1"/>
    <x v="269"/>
    <s v="Entertainment"/>
    <n v="6654"/>
    <n v="0"/>
    <n v="-6654"/>
    <x v="2"/>
    <x v="2"/>
    <x v="0"/>
  </r>
  <r>
    <x v="1"/>
    <x v="269"/>
    <s v="Transport"/>
    <n v="4834"/>
    <n v="0"/>
    <n v="-4834"/>
    <x v="10"/>
    <x v="0"/>
    <x v="0"/>
  </r>
  <r>
    <x v="0"/>
    <x v="270"/>
    <s v="Shopping"/>
    <n v="763"/>
    <n v="0"/>
    <n v="-763"/>
    <x v="4"/>
    <x v="2"/>
    <x v="0"/>
  </r>
  <r>
    <x v="0"/>
    <x v="270"/>
    <s v="Transport"/>
    <n v="7723"/>
    <n v="0"/>
    <n v="-7723"/>
    <x v="10"/>
    <x v="0"/>
    <x v="0"/>
  </r>
  <r>
    <x v="1"/>
    <x v="271"/>
    <s v="Shopping"/>
    <n v="6500"/>
    <n v="0"/>
    <n v="-6500"/>
    <x v="4"/>
    <x v="2"/>
    <x v="0"/>
  </r>
  <r>
    <x v="0"/>
    <x v="272"/>
    <s v="Utilities"/>
    <n v="4568"/>
    <n v="0"/>
    <n v="-4568"/>
    <x v="5"/>
    <x v="4"/>
    <x v="0"/>
  </r>
  <r>
    <x v="0"/>
    <x v="272"/>
    <s v="Fuel"/>
    <n v="7478"/>
    <n v="0"/>
    <n v="-7478"/>
    <x v="0"/>
    <x v="0"/>
    <x v="0"/>
  </r>
  <r>
    <x v="1"/>
    <x v="273"/>
    <s v="Healthcare"/>
    <n v="2585"/>
    <n v="0"/>
    <n v="-2585"/>
    <x v="1"/>
    <x v="1"/>
    <x v="0"/>
  </r>
  <r>
    <x v="0"/>
    <x v="274"/>
    <s v="Healthcare"/>
    <n v="2490"/>
    <n v="0"/>
    <n v="-2490"/>
    <x v="1"/>
    <x v="1"/>
    <x v="0"/>
  </r>
  <r>
    <x v="1"/>
    <x v="274"/>
    <s v="Utilities"/>
    <n v="5245"/>
    <n v="0"/>
    <n v="-5245"/>
    <x v="5"/>
    <x v="4"/>
    <x v="0"/>
  </r>
  <r>
    <x v="1"/>
    <x v="274"/>
    <s v="Entertainment"/>
    <n v="6364"/>
    <n v="0"/>
    <n v="-6364"/>
    <x v="2"/>
    <x v="2"/>
    <x v="0"/>
  </r>
  <r>
    <x v="1"/>
    <x v="275"/>
    <s v="Fuel"/>
    <n v="5701"/>
    <n v="0"/>
    <n v="-5701"/>
    <x v="0"/>
    <x v="0"/>
    <x v="0"/>
  </r>
  <r>
    <x v="0"/>
    <x v="275"/>
    <s v="Salary"/>
    <n v="0"/>
    <n v="18159"/>
    <n v="18159"/>
    <x v="8"/>
    <x v="5"/>
    <x v="1"/>
  </r>
  <r>
    <x v="1"/>
    <x v="275"/>
    <s v="Entertainment"/>
    <n v="5088"/>
    <n v="0"/>
    <n v="-5088"/>
    <x v="2"/>
    <x v="2"/>
    <x v="0"/>
  </r>
  <r>
    <x v="0"/>
    <x v="276"/>
    <s v="Shopping"/>
    <n v="912"/>
    <n v="0"/>
    <n v="-912"/>
    <x v="4"/>
    <x v="2"/>
    <x v="0"/>
  </r>
  <r>
    <x v="0"/>
    <x v="276"/>
    <s v="Shopping"/>
    <n v="4813"/>
    <n v="0"/>
    <n v="-4813"/>
    <x v="4"/>
    <x v="2"/>
    <x v="0"/>
  </r>
  <r>
    <x v="0"/>
    <x v="276"/>
    <s v="Transport"/>
    <n v="5906"/>
    <n v="0"/>
    <n v="-5906"/>
    <x v="10"/>
    <x v="0"/>
    <x v="0"/>
  </r>
  <r>
    <x v="0"/>
    <x v="277"/>
    <s v="Cashback"/>
    <n v="0"/>
    <n v="34194"/>
    <n v="34194"/>
    <x v="7"/>
    <x v="5"/>
    <x v="1"/>
  </r>
  <r>
    <x v="1"/>
    <x v="277"/>
    <s v="Shopping"/>
    <n v="5260"/>
    <n v="0"/>
    <n v="-5260"/>
    <x v="4"/>
    <x v="2"/>
    <x v="0"/>
  </r>
  <r>
    <x v="1"/>
    <x v="277"/>
    <s v="Fuel"/>
    <n v="325"/>
    <n v="0"/>
    <n v="-325"/>
    <x v="0"/>
    <x v="0"/>
    <x v="0"/>
  </r>
  <r>
    <x v="1"/>
    <x v="278"/>
    <s v="Entertainment"/>
    <n v="1813"/>
    <n v="0"/>
    <n v="-1813"/>
    <x v="2"/>
    <x v="2"/>
    <x v="0"/>
  </r>
  <r>
    <x v="1"/>
    <x v="279"/>
    <s v="Entertainment"/>
    <n v="4227"/>
    <n v="0"/>
    <n v="-4227"/>
    <x v="2"/>
    <x v="2"/>
    <x v="0"/>
  </r>
  <r>
    <x v="0"/>
    <x v="279"/>
    <s v="Food Delivery"/>
    <n v="5698"/>
    <n v="0"/>
    <n v="-5698"/>
    <x v="3"/>
    <x v="3"/>
    <x v="0"/>
  </r>
  <r>
    <x v="1"/>
    <x v="279"/>
    <s v="Utilities"/>
    <n v="4538"/>
    <n v="0"/>
    <n v="-4538"/>
    <x v="5"/>
    <x v="4"/>
    <x v="0"/>
  </r>
  <r>
    <x v="0"/>
    <x v="280"/>
    <s v="Shopping"/>
    <n v="5762"/>
    <n v="0"/>
    <n v="-5762"/>
    <x v="4"/>
    <x v="2"/>
    <x v="0"/>
  </r>
  <r>
    <x v="0"/>
    <x v="280"/>
    <s v="Salary"/>
    <n v="0"/>
    <n v="12769"/>
    <n v="12769"/>
    <x v="8"/>
    <x v="5"/>
    <x v="1"/>
  </r>
  <r>
    <x v="0"/>
    <x v="280"/>
    <s v="Transport"/>
    <n v="6515"/>
    <n v="0"/>
    <n v="-6515"/>
    <x v="10"/>
    <x v="0"/>
    <x v="0"/>
  </r>
  <r>
    <x v="1"/>
    <x v="281"/>
    <s v="Groceries"/>
    <n v="476"/>
    <n v="0"/>
    <n v="-476"/>
    <x v="9"/>
    <x v="3"/>
    <x v="0"/>
  </r>
  <r>
    <x v="1"/>
    <x v="281"/>
    <s v="Transport"/>
    <n v="1580"/>
    <n v="0"/>
    <n v="-1580"/>
    <x v="10"/>
    <x v="0"/>
    <x v="0"/>
  </r>
  <r>
    <x v="1"/>
    <x v="282"/>
    <s v="Shopping"/>
    <n v="3999"/>
    <n v="0"/>
    <n v="-3999"/>
    <x v="4"/>
    <x v="2"/>
    <x v="0"/>
  </r>
  <r>
    <x v="0"/>
    <x v="282"/>
    <s v="Transport"/>
    <n v="1725"/>
    <n v="0"/>
    <n v="-1725"/>
    <x v="10"/>
    <x v="0"/>
    <x v="0"/>
  </r>
  <r>
    <x v="1"/>
    <x v="282"/>
    <s v="Healthcare"/>
    <n v="1544"/>
    <n v="0"/>
    <n v="-1544"/>
    <x v="1"/>
    <x v="1"/>
    <x v="0"/>
  </r>
  <r>
    <x v="1"/>
    <x v="283"/>
    <s v="Utilities"/>
    <n v="1168"/>
    <n v="0"/>
    <n v="-1168"/>
    <x v="5"/>
    <x v="4"/>
    <x v="0"/>
  </r>
  <r>
    <x v="0"/>
    <x v="283"/>
    <s v="Transport"/>
    <n v="1013"/>
    <n v="0"/>
    <n v="-1013"/>
    <x v="10"/>
    <x v="0"/>
    <x v="0"/>
  </r>
  <r>
    <x v="1"/>
    <x v="283"/>
    <s v="Salary"/>
    <n v="0"/>
    <n v="13537"/>
    <n v="13537"/>
    <x v="8"/>
    <x v="5"/>
    <x v="1"/>
  </r>
  <r>
    <x v="1"/>
    <x v="284"/>
    <s v="Entertainment"/>
    <n v="6717"/>
    <n v="0"/>
    <n v="-6717"/>
    <x v="2"/>
    <x v="2"/>
    <x v="0"/>
  </r>
  <r>
    <x v="1"/>
    <x v="285"/>
    <s v="Groceries"/>
    <n v="6850"/>
    <n v="0"/>
    <n v="-6850"/>
    <x v="9"/>
    <x v="3"/>
    <x v="0"/>
  </r>
  <r>
    <x v="1"/>
    <x v="286"/>
    <s v="Food Delivery"/>
    <n v="6356"/>
    <n v="0"/>
    <n v="-6356"/>
    <x v="3"/>
    <x v="3"/>
    <x v="0"/>
  </r>
  <r>
    <x v="1"/>
    <x v="286"/>
    <s v="Transport"/>
    <n v="3131"/>
    <n v="0"/>
    <n v="-3131"/>
    <x v="10"/>
    <x v="0"/>
    <x v="0"/>
  </r>
  <r>
    <x v="0"/>
    <x v="286"/>
    <s v="Utilities"/>
    <n v="7104"/>
    <n v="0"/>
    <n v="-7104"/>
    <x v="5"/>
    <x v="4"/>
    <x v="0"/>
  </r>
  <r>
    <x v="1"/>
    <x v="287"/>
    <s v="Freelance"/>
    <n v="0"/>
    <n v="49000"/>
    <n v="49000"/>
    <x v="6"/>
    <x v="5"/>
    <x v="1"/>
  </r>
  <r>
    <x v="1"/>
    <x v="288"/>
    <s v="Shopping"/>
    <n v="7442"/>
    <n v="0"/>
    <n v="-7442"/>
    <x v="4"/>
    <x v="2"/>
    <x v="0"/>
  </r>
  <r>
    <x v="0"/>
    <x v="288"/>
    <s v="Entertainment"/>
    <n v="2192"/>
    <n v="0"/>
    <n v="-2192"/>
    <x v="2"/>
    <x v="2"/>
    <x v="0"/>
  </r>
  <r>
    <x v="0"/>
    <x v="288"/>
    <s v="Shopping"/>
    <n v="2177"/>
    <n v="0"/>
    <n v="-2177"/>
    <x v="4"/>
    <x v="2"/>
    <x v="0"/>
  </r>
  <r>
    <x v="1"/>
    <x v="289"/>
    <s v="Entertainment"/>
    <n v="2104"/>
    <n v="0"/>
    <n v="-2104"/>
    <x v="2"/>
    <x v="2"/>
    <x v="0"/>
  </r>
  <r>
    <x v="1"/>
    <x v="289"/>
    <s v="Entertainment"/>
    <n v="7516"/>
    <n v="0"/>
    <n v="-7516"/>
    <x v="2"/>
    <x v="2"/>
    <x v="0"/>
  </r>
  <r>
    <x v="0"/>
    <x v="290"/>
    <s v="Utilities"/>
    <n v="3167"/>
    <n v="0"/>
    <n v="-3167"/>
    <x v="5"/>
    <x v="4"/>
    <x v="0"/>
  </r>
  <r>
    <x v="1"/>
    <x v="290"/>
    <s v="Shopping"/>
    <n v="5806"/>
    <n v="0"/>
    <n v="-5806"/>
    <x v="4"/>
    <x v="2"/>
    <x v="0"/>
  </r>
  <r>
    <x v="0"/>
    <x v="291"/>
    <s v="Shopping"/>
    <n v="771"/>
    <n v="0"/>
    <n v="-771"/>
    <x v="4"/>
    <x v="2"/>
    <x v="0"/>
  </r>
  <r>
    <x v="1"/>
    <x v="291"/>
    <s v="Healthcare"/>
    <n v="2816"/>
    <n v="0"/>
    <n v="-2816"/>
    <x v="1"/>
    <x v="1"/>
    <x v="0"/>
  </r>
  <r>
    <x v="1"/>
    <x v="292"/>
    <s v="Utilities"/>
    <n v="3393"/>
    <n v="0"/>
    <n v="-3393"/>
    <x v="5"/>
    <x v="4"/>
    <x v="0"/>
  </r>
  <r>
    <x v="1"/>
    <x v="292"/>
    <s v="Groceries"/>
    <n v="6609"/>
    <n v="0"/>
    <n v="-6609"/>
    <x v="9"/>
    <x v="3"/>
    <x v="0"/>
  </r>
  <r>
    <x v="0"/>
    <x v="292"/>
    <s v="Groceries"/>
    <n v="1846"/>
    <n v="0"/>
    <n v="-1846"/>
    <x v="9"/>
    <x v="3"/>
    <x v="0"/>
  </r>
  <r>
    <x v="1"/>
    <x v="293"/>
    <s v="Entertainment"/>
    <n v="4221"/>
    <n v="0"/>
    <n v="-4221"/>
    <x v="2"/>
    <x v="2"/>
    <x v="0"/>
  </r>
  <r>
    <x v="0"/>
    <x v="293"/>
    <s v="Salary"/>
    <n v="0"/>
    <n v="46491"/>
    <n v="46491"/>
    <x v="8"/>
    <x v="5"/>
    <x v="1"/>
  </r>
  <r>
    <x v="1"/>
    <x v="294"/>
    <s v="Fuel"/>
    <n v="3608"/>
    <n v="0"/>
    <n v="-3608"/>
    <x v="0"/>
    <x v="0"/>
    <x v="0"/>
  </r>
  <r>
    <x v="0"/>
    <x v="295"/>
    <s v="Shopping"/>
    <n v="6899"/>
    <n v="0"/>
    <n v="-6899"/>
    <x v="4"/>
    <x v="2"/>
    <x v="0"/>
  </r>
  <r>
    <x v="0"/>
    <x v="296"/>
    <s v="Fuel"/>
    <n v="620"/>
    <n v="0"/>
    <n v="-620"/>
    <x v="0"/>
    <x v="0"/>
    <x v="0"/>
  </r>
  <r>
    <x v="1"/>
    <x v="297"/>
    <s v="Fuel"/>
    <n v="4848"/>
    <n v="0"/>
    <n v="-4848"/>
    <x v="0"/>
    <x v="0"/>
    <x v="0"/>
  </r>
  <r>
    <x v="1"/>
    <x v="298"/>
    <s v="Freelance"/>
    <n v="0"/>
    <n v="12102"/>
    <n v="12102"/>
    <x v="6"/>
    <x v="5"/>
    <x v="1"/>
  </r>
  <r>
    <x v="1"/>
    <x v="299"/>
    <s v="Food Delivery"/>
    <n v="5832"/>
    <n v="0"/>
    <n v="-5832"/>
    <x v="3"/>
    <x v="3"/>
    <x v="0"/>
  </r>
  <r>
    <x v="0"/>
    <x v="299"/>
    <s v="Healthcare"/>
    <n v="6731"/>
    <n v="0"/>
    <n v="-6731"/>
    <x v="1"/>
    <x v="1"/>
    <x v="0"/>
  </r>
  <r>
    <x v="1"/>
    <x v="300"/>
    <s v="Food Delivery"/>
    <n v="3262"/>
    <n v="0"/>
    <n v="-3262"/>
    <x v="3"/>
    <x v="3"/>
    <x v="0"/>
  </r>
  <r>
    <x v="1"/>
    <x v="300"/>
    <s v="Food Delivery"/>
    <n v="360"/>
    <n v="0"/>
    <n v="-360"/>
    <x v="3"/>
    <x v="3"/>
    <x v="0"/>
  </r>
  <r>
    <x v="0"/>
    <x v="301"/>
    <s v="Food Delivery"/>
    <n v="4170"/>
    <n v="0"/>
    <n v="-4170"/>
    <x v="3"/>
    <x v="3"/>
    <x v="0"/>
  </r>
  <r>
    <x v="1"/>
    <x v="302"/>
    <s v="Utilities"/>
    <n v="7944"/>
    <n v="0"/>
    <n v="-7944"/>
    <x v="5"/>
    <x v="4"/>
    <x v="0"/>
  </r>
  <r>
    <x v="0"/>
    <x v="302"/>
    <s v="Shopping"/>
    <n v="6876"/>
    <n v="0"/>
    <n v="-6876"/>
    <x v="4"/>
    <x v="2"/>
    <x v="0"/>
  </r>
  <r>
    <x v="0"/>
    <x v="302"/>
    <s v="Shopping"/>
    <n v="6295"/>
    <n v="0"/>
    <n v="-6295"/>
    <x v="4"/>
    <x v="2"/>
    <x v="0"/>
  </r>
  <r>
    <x v="0"/>
    <x v="303"/>
    <s v="Food Delivery"/>
    <n v="1280"/>
    <n v="0"/>
    <n v="-1280"/>
    <x v="3"/>
    <x v="3"/>
    <x v="0"/>
  </r>
  <r>
    <x v="0"/>
    <x v="304"/>
    <s v="Food Delivery"/>
    <n v="6982"/>
    <n v="0"/>
    <n v="-6982"/>
    <x v="3"/>
    <x v="3"/>
    <x v="0"/>
  </r>
  <r>
    <x v="0"/>
    <x v="304"/>
    <s v="Entertainment"/>
    <n v="5250"/>
    <n v="0"/>
    <n v="-5250"/>
    <x v="2"/>
    <x v="2"/>
    <x v="0"/>
  </r>
  <r>
    <x v="0"/>
    <x v="304"/>
    <s v="Groceries"/>
    <n v="2322"/>
    <n v="0"/>
    <n v="-2322"/>
    <x v="9"/>
    <x v="3"/>
    <x v="0"/>
  </r>
  <r>
    <x v="0"/>
    <x v="305"/>
    <s v="Utilities"/>
    <n v="3318"/>
    <n v="0"/>
    <n v="-3318"/>
    <x v="5"/>
    <x v="4"/>
    <x v="0"/>
  </r>
  <r>
    <x v="1"/>
    <x v="305"/>
    <s v="Groceries"/>
    <n v="4179"/>
    <n v="0"/>
    <n v="-4179"/>
    <x v="9"/>
    <x v="3"/>
    <x v="0"/>
  </r>
  <r>
    <x v="1"/>
    <x v="305"/>
    <s v="Fuel"/>
    <n v="4566"/>
    <n v="0"/>
    <n v="-4566"/>
    <x v="0"/>
    <x v="0"/>
    <x v="0"/>
  </r>
  <r>
    <x v="0"/>
    <x v="306"/>
    <s v="Food Delivery"/>
    <n v="1485"/>
    <n v="0"/>
    <n v="-1485"/>
    <x v="3"/>
    <x v="3"/>
    <x v="0"/>
  </r>
  <r>
    <x v="1"/>
    <x v="306"/>
    <s v="Transport"/>
    <n v="210"/>
    <n v="0"/>
    <n v="-210"/>
    <x v="10"/>
    <x v="0"/>
    <x v="0"/>
  </r>
  <r>
    <x v="1"/>
    <x v="306"/>
    <s v="Shopping"/>
    <n v="7899"/>
    <n v="0"/>
    <n v="-7899"/>
    <x v="4"/>
    <x v="2"/>
    <x v="0"/>
  </r>
  <r>
    <x v="0"/>
    <x v="307"/>
    <s v="Transport"/>
    <n v="2334"/>
    <n v="0"/>
    <n v="-2334"/>
    <x v="10"/>
    <x v="0"/>
    <x v="0"/>
  </r>
  <r>
    <x v="0"/>
    <x v="308"/>
    <s v="Fuel"/>
    <n v="4116"/>
    <n v="0"/>
    <n v="-4116"/>
    <x v="0"/>
    <x v="0"/>
    <x v="0"/>
  </r>
  <r>
    <x v="0"/>
    <x v="308"/>
    <s v="Fuel"/>
    <n v="7914"/>
    <n v="0"/>
    <n v="-7914"/>
    <x v="0"/>
    <x v="0"/>
    <x v="0"/>
  </r>
  <r>
    <x v="1"/>
    <x v="309"/>
    <s v="Utilities"/>
    <n v="616"/>
    <n v="0"/>
    <n v="-616"/>
    <x v="5"/>
    <x v="4"/>
    <x v="0"/>
  </r>
  <r>
    <x v="0"/>
    <x v="310"/>
    <s v="Utilities"/>
    <n v="2516"/>
    <n v="0"/>
    <n v="-2516"/>
    <x v="5"/>
    <x v="4"/>
    <x v="0"/>
  </r>
  <r>
    <x v="1"/>
    <x v="310"/>
    <s v="Shopping"/>
    <n v="3146"/>
    <n v="0"/>
    <n v="-3146"/>
    <x v="4"/>
    <x v="2"/>
    <x v="0"/>
  </r>
  <r>
    <x v="0"/>
    <x v="310"/>
    <s v="Transport"/>
    <n v="7353"/>
    <n v="0"/>
    <n v="-7353"/>
    <x v="10"/>
    <x v="0"/>
    <x v="0"/>
  </r>
  <r>
    <x v="1"/>
    <x v="311"/>
    <s v="Food Delivery"/>
    <n v="7380"/>
    <n v="0"/>
    <n v="-7380"/>
    <x v="3"/>
    <x v="3"/>
    <x v="0"/>
  </r>
  <r>
    <x v="0"/>
    <x v="311"/>
    <s v="Shopping"/>
    <n v="5409"/>
    <n v="0"/>
    <n v="-5409"/>
    <x v="4"/>
    <x v="2"/>
    <x v="0"/>
  </r>
  <r>
    <x v="1"/>
    <x v="311"/>
    <s v="Fuel"/>
    <n v="5491"/>
    <n v="0"/>
    <n v="-5491"/>
    <x v="0"/>
    <x v="0"/>
    <x v="0"/>
  </r>
  <r>
    <x v="1"/>
    <x v="312"/>
    <s v="Transport"/>
    <n v="4714"/>
    <n v="0"/>
    <n v="-4714"/>
    <x v="10"/>
    <x v="0"/>
    <x v="0"/>
  </r>
  <r>
    <x v="0"/>
    <x v="313"/>
    <s v="Cashback"/>
    <n v="0"/>
    <n v="8423"/>
    <n v="8423"/>
    <x v="7"/>
    <x v="5"/>
    <x v="1"/>
  </r>
  <r>
    <x v="0"/>
    <x v="313"/>
    <s v="Healthcare"/>
    <n v="5712"/>
    <n v="0"/>
    <n v="-5712"/>
    <x v="1"/>
    <x v="1"/>
    <x v="0"/>
  </r>
  <r>
    <x v="0"/>
    <x v="314"/>
    <s v="Entertainment"/>
    <n v="3768"/>
    <n v="0"/>
    <n v="-3768"/>
    <x v="2"/>
    <x v="2"/>
    <x v="0"/>
  </r>
  <r>
    <x v="0"/>
    <x v="314"/>
    <s v="Transport"/>
    <n v="4544"/>
    <n v="0"/>
    <n v="-4544"/>
    <x v="10"/>
    <x v="0"/>
    <x v="0"/>
  </r>
  <r>
    <x v="0"/>
    <x v="315"/>
    <s v="Utilities"/>
    <n v="4144"/>
    <n v="0"/>
    <n v="-4144"/>
    <x v="5"/>
    <x v="4"/>
    <x v="0"/>
  </r>
  <r>
    <x v="1"/>
    <x v="315"/>
    <s v="Freelance"/>
    <n v="0"/>
    <n v="23395"/>
    <n v="23395"/>
    <x v="6"/>
    <x v="5"/>
    <x v="1"/>
  </r>
  <r>
    <x v="0"/>
    <x v="315"/>
    <s v="Shopping"/>
    <n v="7557"/>
    <n v="0"/>
    <n v="-7557"/>
    <x v="4"/>
    <x v="2"/>
    <x v="0"/>
  </r>
  <r>
    <x v="0"/>
    <x v="316"/>
    <s v="Freelance"/>
    <n v="0"/>
    <n v="36845"/>
    <n v="36845"/>
    <x v="6"/>
    <x v="5"/>
    <x v="1"/>
  </r>
  <r>
    <x v="0"/>
    <x v="316"/>
    <s v="Groceries"/>
    <n v="2892"/>
    <n v="0"/>
    <n v="-2892"/>
    <x v="9"/>
    <x v="3"/>
    <x v="0"/>
  </r>
  <r>
    <x v="1"/>
    <x v="317"/>
    <s v="Healthcare"/>
    <n v="1638"/>
    <n v="0"/>
    <n v="-1638"/>
    <x v="1"/>
    <x v="1"/>
    <x v="0"/>
  </r>
  <r>
    <x v="1"/>
    <x v="317"/>
    <s v="Utilities"/>
    <n v="5893"/>
    <n v="0"/>
    <n v="-5893"/>
    <x v="5"/>
    <x v="4"/>
    <x v="0"/>
  </r>
  <r>
    <x v="0"/>
    <x v="317"/>
    <s v="Transport"/>
    <n v="5141"/>
    <n v="0"/>
    <n v="-5141"/>
    <x v="10"/>
    <x v="0"/>
    <x v="0"/>
  </r>
  <r>
    <x v="1"/>
    <x v="318"/>
    <s v="Groceries"/>
    <n v="3285"/>
    <n v="0"/>
    <n v="-3285"/>
    <x v="9"/>
    <x v="3"/>
    <x v="0"/>
  </r>
  <r>
    <x v="1"/>
    <x v="319"/>
    <s v="Salary"/>
    <n v="0"/>
    <n v="35200"/>
    <n v="35200"/>
    <x v="8"/>
    <x v="5"/>
    <x v="1"/>
  </r>
  <r>
    <x v="1"/>
    <x v="320"/>
    <s v="Healthcare"/>
    <n v="3349"/>
    <n v="0"/>
    <n v="-3349"/>
    <x v="1"/>
    <x v="1"/>
    <x v="0"/>
  </r>
  <r>
    <x v="0"/>
    <x v="321"/>
    <s v="Fuel"/>
    <n v="3299"/>
    <n v="0"/>
    <n v="-3299"/>
    <x v="0"/>
    <x v="0"/>
    <x v="0"/>
  </r>
  <r>
    <x v="0"/>
    <x v="321"/>
    <s v="Food Delivery"/>
    <n v="6673"/>
    <n v="0"/>
    <n v="-6673"/>
    <x v="3"/>
    <x v="3"/>
    <x v="0"/>
  </r>
  <r>
    <x v="1"/>
    <x v="321"/>
    <s v="Utilities"/>
    <n v="5117"/>
    <n v="0"/>
    <n v="-5117"/>
    <x v="5"/>
    <x v="4"/>
    <x v="0"/>
  </r>
  <r>
    <x v="0"/>
    <x v="322"/>
    <s v="Food Delivery"/>
    <n v="3380"/>
    <n v="0"/>
    <n v="-3380"/>
    <x v="3"/>
    <x v="3"/>
    <x v="0"/>
  </r>
  <r>
    <x v="0"/>
    <x v="323"/>
    <s v="Transport"/>
    <n v="5815"/>
    <n v="0"/>
    <n v="-5815"/>
    <x v="10"/>
    <x v="0"/>
    <x v="0"/>
  </r>
  <r>
    <x v="0"/>
    <x v="323"/>
    <s v="Food Delivery"/>
    <n v="1895"/>
    <n v="0"/>
    <n v="-1895"/>
    <x v="3"/>
    <x v="3"/>
    <x v="0"/>
  </r>
  <r>
    <x v="1"/>
    <x v="324"/>
    <s v="Groceries"/>
    <n v="5232"/>
    <n v="0"/>
    <n v="-5232"/>
    <x v="9"/>
    <x v="3"/>
    <x v="0"/>
  </r>
  <r>
    <x v="0"/>
    <x v="324"/>
    <s v="Fuel"/>
    <n v="832"/>
    <n v="0"/>
    <n v="-832"/>
    <x v="0"/>
    <x v="0"/>
    <x v="0"/>
  </r>
  <r>
    <x v="0"/>
    <x v="325"/>
    <s v="Healthcare"/>
    <n v="3530"/>
    <n v="0"/>
    <n v="-3530"/>
    <x v="1"/>
    <x v="1"/>
    <x v="0"/>
  </r>
  <r>
    <x v="0"/>
    <x v="325"/>
    <s v="Healthcare"/>
    <n v="5818"/>
    <n v="0"/>
    <n v="-5818"/>
    <x v="1"/>
    <x v="1"/>
    <x v="0"/>
  </r>
  <r>
    <x v="0"/>
    <x v="325"/>
    <s v="Transport"/>
    <n v="6594"/>
    <n v="0"/>
    <n v="-6594"/>
    <x v="10"/>
    <x v="0"/>
    <x v="0"/>
  </r>
  <r>
    <x v="0"/>
    <x v="326"/>
    <s v="Food Delivery"/>
    <n v="4834"/>
    <n v="0"/>
    <n v="-4834"/>
    <x v="3"/>
    <x v="3"/>
    <x v="0"/>
  </r>
  <r>
    <x v="1"/>
    <x v="326"/>
    <s v="Transport"/>
    <n v="6596"/>
    <n v="0"/>
    <n v="-6596"/>
    <x v="10"/>
    <x v="0"/>
    <x v="0"/>
  </r>
  <r>
    <x v="0"/>
    <x v="327"/>
    <s v="Shopping"/>
    <n v="1650"/>
    <n v="0"/>
    <n v="-1650"/>
    <x v="4"/>
    <x v="2"/>
    <x v="0"/>
  </r>
  <r>
    <x v="1"/>
    <x v="328"/>
    <s v="Groceries"/>
    <n v="6072"/>
    <n v="0"/>
    <n v="-6072"/>
    <x v="9"/>
    <x v="3"/>
    <x v="0"/>
  </r>
  <r>
    <x v="1"/>
    <x v="328"/>
    <s v="Entertainment"/>
    <n v="2700"/>
    <n v="0"/>
    <n v="-2700"/>
    <x v="2"/>
    <x v="2"/>
    <x v="0"/>
  </r>
  <r>
    <x v="0"/>
    <x v="329"/>
    <s v="Entertainment"/>
    <n v="2021"/>
    <n v="0"/>
    <n v="-2021"/>
    <x v="2"/>
    <x v="2"/>
    <x v="0"/>
  </r>
  <r>
    <x v="0"/>
    <x v="330"/>
    <s v="Shopping"/>
    <n v="7563"/>
    <n v="0"/>
    <n v="-7563"/>
    <x v="4"/>
    <x v="2"/>
    <x v="0"/>
  </r>
  <r>
    <x v="1"/>
    <x v="330"/>
    <s v="Groceries"/>
    <n v="2577"/>
    <n v="0"/>
    <n v="-2577"/>
    <x v="9"/>
    <x v="3"/>
    <x v="0"/>
  </r>
  <r>
    <x v="1"/>
    <x v="331"/>
    <s v="Entertainment"/>
    <n v="6036"/>
    <n v="0"/>
    <n v="-6036"/>
    <x v="2"/>
    <x v="2"/>
    <x v="0"/>
  </r>
  <r>
    <x v="0"/>
    <x v="331"/>
    <s v="Food Delivery"/>
    <n v="2754"/>
    <n v="0"/>
    <n v="-2754"/>
    <x v="3"/>
    <x v="3"/>
    <x v="0"/>
  </r>
  <r>
    <x v="1"/>
    <x v="331"/>
    <s v="Entertainment"/>
    <n v="7376"/>
    <n v="0"/>
    <n v="-7376"/>
    <x v="2"/>
    <x v="2"/>
    <x v="0"/>
  </r>
  <r>
    <x v="1"/>
    <x v="332"/>
    <s v="Salary"/>
    <n v="0"/>
    <n v="16013"/>
    <n v="16013"/>
    <x v="8"/>
    <x v="5"/>
    <x v="1"/>
  </r>
  <r>
    <x v="1"/>
    <x v="332"/>
    <s v="Food Delivery"/>
    <n v="7294"/>
    <n v="0"/>
    <n v="-7294"/>
    <x v="3"/>
    <x v="3"/>
    <x v="0"/>
  </r>
  <r>
    <x v="0"/>
    <x v="333"/>
    <s v="Shopping"/>
    <n v="3047"/>
    <n v="0"/>
    <n v="-3047"/>
    <x v="4"/>
    <x v="2"/>
    <x v="0"/>
  </r>
  <r>
    <x v="1"/>
    <x v="334"/>
    <s v="Salary"/>
    <n v="0"/>
    <n v="15444"/>
    <n v="15444"/>
    <x v="8"/>
    <x v="5"/>
    <x v="1"/>
  </r>
  <r>
    <x v="0"/>
    <x v="334"/>
    <s v="Transport"/>
    <n v="6191"/>
    <n v="0"/>
    <n v="-6191"/>
    <x v="10"/>
    <x v="0"/>
    <x v="0"/>
  </r>
  <r>
    <x v="1"/>
    <x v="335"/>
    <s v="Healthcare"/>
    <n v="4369"/>
    <n v="0"/>
    <n v="-4369"/>
    <x v="1"/>
    <x v="1"/>
    <x v="0"/>
  </r>
  <r>
    <x v="1"/>
    <x v="336"/>
    <s v="Cashback"/>
    <n v="0"/>
    <n v="42948"/>
    <n v="42948"/>
    <x v="7"/>
    <x v="5"/>
    <x v="1"/>
  </r>
  <r>
    <x v="0"/>
    <x v="337"/>
    <s v="Freelance"/>
    <n v="0"/>
    <n v="10907"/>
    <n v="10907"/>
    <x v="6"/>
    <x v="5"/>
    <x v="1"/>
  </r>
  <r>
    <x v="1"/>
    <x v="337"/>
    <s v="Utilities"/>
    <n v="5484"/>
    <n v="0"/>
    <n v="-5484"/>
    <x v="5"/>
    <x v="4"/>
    <x v="0"/>
  </r>
  <r>
    <x v="0"/>
    <x v="338"/>
    <s v="Fuel"/>
    <n v="3187"/>
    <n v="0"/>
    <n v="-3187"/>
    <x v="0"/>
    <x v="0"/>
    <x v="0"/>
  </r>
  <r>
    <x v="1"/>
    <x v="339"/>
    <s v="Utilities"/>
    <n v="1674"/>
    <n v="0"/>
    <n v="-1674"/>
    <x v="5"/>
    <x v="4"/>
    <x v="0"/>
  </r>
  <r>
    <x v="0"/>
    <x v="339"/>
    <s v="Shopping"/>
    <n v="1676"/>
    <n v="0"/>
    <n v="-1676"/>
    <x v="4"/>
    <x v="2"/>
    <x v="0"/>
  </r>
  <r>
    <x v="0"/>
    <x v="340"/>
    <s v="Entertainment"/>
    <n v="5175"/>
    <n v="0"/>
    <n v="-5175"/>
    <x v="2"/>
    <x v="2"/>
    <x v="0"/>
  </r>
  <r>
    <x v="1"/>
    <x v="340"/>
    <s v="Shopping"/>
    <n v="1795"/>
    <n v="0"/>
    <n v="-1795"/>
    <x v="4"/>
    <x v="2"/>
    <x v="0"/>
  </r>
  <r>
    <x v="1"/>
    <x v="340"/>
    <s v="Healthcare"/>
    <n v="5557"/>
    <n v="0"/>
    <n v="-5557"/>
    <x v="1"/>
    <x v="1"/>
    <x v="0"/>
  </r>
  <r>
    <x v="0"/>
    <x v="341"/>
    <s v="Salary"/>
    <n v="0"/>
    <n v="35150"/>
    <n v="35150"/>
    <x v="8"/>
    <x v="5"/>
    <x v="1"/>
  </r>
  <r>
    <x v="1"/>
    <x v="342"/>
    <s v="Groceries"/>
    <n v="7746"/>
    <n v="0"/>
    <n v="-7746"/>
    <x v="9"/>
    <x v="3"/>
    <x v="0"/>
  </r>
  <r>
    <x v="1"/>
    <x v="343"/>
    <s v="Groceries"/>
    <n v="2402"/>
    <n v="0"/>
    <n v="-2402"/>
    <x v="9"/>
    <x v="3"/>
    <x v="0"/>
  </r>
  <r>
    <x v="0"/>
    <x v="343"/>
    <s v="Groceries"/>
    <n v="2098"/>
    <n v="0"/>
    <n v="-2098"/>
    <x v="9"/>
    <x v="3"/>
    <x v="0"/>
  </r>
  <r>
    <x v="1"/>
    <x v="343"/>
    <s v="Salary"/>
    <n v="0"/>
    <n v="36502"/>
    <n v="36502"/>
    <x v="8"/>
    <x v="5"/>
    <x v="1"/>
  </r>
  <r>
    <x v="1"/>
    <x v="344"/>
    <s v="Groceries"/>
    <n v="7068"/>
    <n v="0"/>
    <n v="-7068"/>
    <x v="9"/>
    <x v="3"/>
    <x v="0"/>
  </r>
  <r>
    <x v="1"/>
    <x v="344"/>
    <s v="Food Delivery"/>
    <n v="3117"/>
    <n v="0"/>
    <n v="-3117"/>
    <x v="3"/>
    <x v="3"/>
    <x v="0"/>
  </r>
  <r>
    <x v="1"/>
    <x v="344"/>
    <s v="Transport"/>
    <n v="3778"/>
    <n v="0"/>
    <n v="-3778"/>
    <x v="10"/>
    <x v="0"/>
    <x v="0"/>
  </r>
  <r>
    <x v="0"/>
    <x v="345"/>
    <s v="Cashback"/>
    <n v="0"/>
    <n v="40201"/>
    <n v="40201"/>
    <x v="7"/>
    <x v="5"/>
    <x v="1"/>
  </r>
  <r>
    <x v="0"/>
    <x v="345"/>
    <s v="Healthcare"/>
    <n v="6750"/>
    <n v="0"/>
    <n v="-6750"/>
    <x v="1"/>
    <x v="1"/>
    <x v="0"/>
  </r>
  <r>
    <x v="0"/>
    <x v="346"/>
    <s v="Salary"/>
    <n v="0"/>
    <n v="22184"/>
    <n v="22184"/>
    <x v="8"/>
    <x v="5"/>
    <x v="1"/>
  </r>
  <r>
    <x v="1"/>
    <x v="347"/>
    <s v="Freelance"/>
    <n v="0"/>
    <n v="18076"/>
    <n v="18076"/>
    <x v="6"/>
    <x v="5"/>
    <x v="1"/>
  </r>
  <r>
    <x v="1"/>
    <x v="347"/>
    <s v="Food Delivery"/>
    <n v="6351"/>
    <n v="0"/>
    <n v="-6351"/>
    <x v="3"/>
    <x v="3"/>
    <x v="0"/>
  </r>
  <r>
    <x v="0"/>
    <x v="348"/>
    <s v="Entertainment"/>
    <n v="4861"/>
    <n v="0"/>
    <n v="-4861"/>
    <x v="2"/>
    <x v="2"/>
    <x v="0"/>
  </r>
  <r>
    <x v="1"/>
    <x v="349"/>
    <s v="Groceries"/>
    <n v="3141"/>
    <n v="0"/>
    <n v="-3141"/>
    <x v="9"/>
    <x v="3"/>
    <x v="0"/>
  </r>
  <r>
    <x v="1"/>
    <x v="349"/>
    <s v="Salary"/>
    <n v="0"/>
    <n v="38810"/>
    <n v="38810"/>
    <x v="8"/>
    <x v="5"/>
    <x v="1"/>
  </r>
  <r>
    <x v="1"/>
    <x v="349"/>
    <s v="Transport"/>
    <n v="1183"/>
    <n v="0"/>
    <n v="-1183"/>
    <x v="10"/>
    <x v="0"/>
    <x v="0"/>
  </r>
  <r>
    <x v="0"/>
    <x v="350"/>
    <s v="Entertainment"/>
    <n v="5378"/>
    <n v="0"/>
    <n v="-5378"/>
    <x v="2"/>
    <x v="2"/>
    <x v="0"/>
  </r>
  <r>
    <x v="0"/>
    <x v="350"/>
    <s v="Salary"/>
    <n v="0"/>
    <n v="49182"/>
    <n v="49182"/>
    <x v="8"/>
    <x v="5"/>
    <x v="1"/>
  </r>
  <r>
    <x v="0"/>
    <x v="350"/>
    <s v="Shopping"/>
    <n v="5940"/>
    <n v="0"/>
    <n v="-5940"/>
    <x v="4"/>
    <x v="2"/>
    <x v="0"/>
  </r>
  <r>
    <x v="1"/>
    <x v="351"/>
    <s v="Transport"/>
    <n v="5942"/>
    <n v="0"/>
    <n v="-5942"/>
    <x v="10"/>
    <x v="0"/>
    <x v="0"/>
  </r>
  <r>
    <x v="1"/>
    <x v="351"/>
    <s v="Utilities"/>
    <n v="5664"/>
    <n v="0"/>
    <n v="-5664"/>
    <x v="5"/>
    <x v="4"/>
    <x v="0"/>
  </r>
  <r>
    <x v="0"/>
    <x v="351"/>
    <s v="Utilities"/>
    <n v="424"/>
    <n v="0"/>
    <n v="-424"/>
    <x v="5"/>
    <x v="4"/>
    <x v="0"/>
  </r>
  <r>
    <x v="1"/>
    <x v="352"/>
    <s v="Healthcare"/>
    <n v="3243"/>
    <n v="0"/>
    <n v="-3243"/>
    <x v="1"/>
    <x v="1"/>
    <x v="0"/>
  </r>
  <r>
    <x v="1"/>
    <x v="352"/>
    <s v="Salary"/>
    <n v="0"/>
    <n v="27255"/>
    <n v="27255"/>
    <x v="8"/>
    <x v="5"/>
    <x v="1"/>
  </r>
  <r>
    <x v="1"/>
    <x v="353"/>
    <s v="Healthcare"/>
    <n v="5970"/>
    <n v="0"/>
    <n v="-5970"/>
    <x v="1"/>
    <x v="1"/>
    <x v="0"/>
  </r>
  <r>
    <x v="0"/>
    <x v="354"/>
    <s v="Groceries"/>
    <n v="742"/>
    <n v="0"/>
    <n v="-742"/>
    <x v="9"/>
    <x v="3"/>
    <x v="0"/>
  </r>
  <r>
    <x v="0"/>
    <x v="355"/>
    <s v="Transport"/>
    <n v="6837"/>
    <n v="0"/>
    <n v="-6837"/>
    <x v="10"/>
    <x v="0"/>
    <x v="0"/>
  </r>
  <r>
    <x v="0"/>
    <x v="355"/>
    <s v="Healthcare"/>
    <n v="6068"/>
    <n v="0"/>
    <n v="-6068"/>
    <x v="1"/>
    <x v="1"/>
    <x v="0"/>
  </r>
  <r>
    <x v="1"/>
    <x v="356"/>
    <s v="Entertainment"/>
    <n v="6816"/>
    <n v="0"/>
    <n v="-6816"/>
    <x v="2"/>
    <x v="2"/>
    <x v="0"/>
  </r>
  <r>
    <x v="1"/>
    <x v="357"/>
    <s v="Transport"/>
    <n v="1419"/>
    <n v="0"/>
    <n v="-1419"/>
    <x v="10"/>
    <x v="0"/>
    <x v="0"/>
  </r>
  <r>
    <x v="0"/>
    <x v="357"/>
    <s v="Fuel"/>
    <n v="4566"/>
    <n v="0"/>
    <n v="-4566"/>
    <x v="0"/>
    <x v="0"/>
    <x v="0"/>
  </r>
  <r>
    <x v="0"/>
    <x v="358"/>
    <s v="Fuel"/>
    <n v="4279"/>
    <n v="0"/>
    <n v="-4279"/>
    <x v="0"/>
    <x v="0"/>
    <x v="0"/>
  </r>
  <r>
    <x v="0"/>
    <x v="358"/>
    <s v="Groceries"/>
    <n v="472"/>
    <n v="0"/>
    <n v="-472"/>
    <x v="9"/>
    <x v="3"/>
    <x v="0"/>
  </r>
  <r>
    <x v="1"/>
    <x v="358"/>
    <s v="Fuel"/>
    <n v="6271"/>
    <n v="0"/>
    <n v="-6271"/>
    <x v="0"/>
    <x v="0"/>
    <x v="0"/>
  </r>
  <r>
    <x v="0"/>
    <x v="359"/>
    <s v="Fuel"/>
    <n v="2860"/>
    <n v="0"/>
    <n v="-2860"/>
    <x v="0"/>
    <x v="0"/>
    <x v="0"/>
  </r>
  <r>
    <x v="1"/>
    <x v="359"/>
    <s v="Transport"/>
    <n v="1472"/>
    <n v="0"/>
    <n v="-1472"/>
    <x v="10"/>
    <x v="0"/>
    <x v="0"/>
  </r>
  <r>
    <x v="1"/>
    <x v="360"/>
    <s v="Entertainment"/>
    <n v="5315"/>
    <n v="0"/>
    <n v="-5315"/>
    <x v="2"/>
    <x v="2"/>
    <x v="0"/>
  </r>
  <r>
    <x v="0"/>
    <x v="360"/>
    <s v="Transport"/>
    <n v="7783"/>
    <n v="0"/>
    <n v="-7783"/>
    <x v="10"/>
    <x v="0"/>
    <x v="0"/>
  </r>
  <r>
    <x v="1"/>
    <x v="361"/>
    <s v="Freelance"/>
    <n v="0"/>
    <n v="11897"/>
    <n v="11897"/>
    <x v="6"/>
    <x v="5"/>
    <x v="1"/>
  </r>
  <r>
    <x v="1"/>
    <x v="361"/>
    <s v="Salary"/>
    <n v="0"/>
    <n v="35344"/>
    <n v="35344"/>
    <x v="8"/>
    <x v="5"/>
    <x v="1"/>
  </r>
  <r>
    <x v="0"/>
    <x v="361"/>
    <s v="Salary"/>
    <n v="0"/>
    <n v="20777"/>
    <n v="20777"/>
    <x v="8"/>
    <x v="5"/>
    <x v="1"/>
  </r>
  <r>
    <x v="0"/>
    <x v="362"/>
    <s v="Groceries"/>
    <n v="6220"/>
    <n v="0"/>
    <n v="-6220"/>
    <x v="9"/>
    <x v="3"/>
    <x v="0"/>
  </r>
  <r>
    <x v="1"/>
    <x v="362"/>
    <s v="Shopping"/>
    <n v="5599"/>
    <n v="0"/>
    <n v="-5599"/>
    <x v="4"/>
    <x v="2"/>
    <x v="0"/>
  </r>
  <r>
    <x v="1"/>
    <x v="363"/>
    <s v="Fuel"/>
    <n v="2153"/>
    <n v="0"/>
    <n v="-2153"/>
    <x v="0"/>
    <x v="0"/>
    <x v="0"/>
  </r>
  <r>
    <x v="0"/>
    <x v="363"/>
    <s v="Entertainment"/>
    <n v="2510"/>
    <n v="0"/>
    <n v="-2510"/>
    <x v="2"/>
    <x v="2"/>
    <x v="0"/>
  </r>
  <r>
    <x v="1"/>
    <x v="364"/>
    <s v="Healthcare"/>
    <n v="4786"/>
    <n v="0"/>
    <n v="-4786"/>
    <x v="1"/>
    <x v="1"/>
    <x v="0"/>
  </r>
  <r>
    <x v="1"/>
    <x v="365"/>
    <s v="Utilities"/>
    <n v="2404"/>
    <n v="0"/>
    <n v="-2404"/>
    <x v="5"/>
    <x v="4"/>
    <x v="0"/>
  </r>
  <r>
    <x v="1"/>
    <x v="365"/>
    <s v="Healthcare"/>
    <n v="7300"/>
    <n v="0"/>
    <n v="-7300"/>
    <x v="1"/>
    <x v="1"/>
    <x v="0"/>
  </r>
  <r>
    <x v="0"/>
    <x v="365"/>
    <s v="Salary"/>
    <n v="0"/>
    <n v="44903"/>
    <n v="44903"/>
    <x v="8"/>
    <x v="5"/>
    <x v="1"/>
  </r>
  <r>
    <x v="0"/>
    <x v="366"/>
    <s v="Utilities"/>
    <n v="2713"/>
    <n v="0"/>
    <n v="-2713"/>
    <x v="5"/>
    <x v="4"/>
    <x v="0"/>
  </r>
  <r>
    <x v="1"/>
    <x v="366"/>
    <s v="Cashback"/>
    <n v="0"/>
    <n v="41692"/>
    <n v="41692"/>
    <x v="7"/>
    <x v="5"/>
    <x v="1"/>
  </r>
  <r>
    <x v="1"/>
    <x v="366"/>
    <s v="Salary"/>
    <n v="0"/>
    <n v="47667"/>
    <n v="47667"/>
    <x v="8"/>
    <x v="5"/>
    <x v="1"/>
  </r>
  <r>
    <x v="1"/>
    <x v="367"/>
    <s v="Utilities"/>
    <n v="5269"/>
    <n v="0"/>
    <n v="-5269"/>
    <x v="5"/>
    <x v="4"/>
    <x v="0"/>
  </r>
  <r>
    <x v="0"/>
    <x v="367"/>
    <s v="Transport"/>
    <n v="905"/>
    <n v="0"/>
    <n v="-905"/>
    <x v="10"/>
    <x v="0"/>
    <x v="0"/>
  </r>
  <r>
    <x v="1"/>
    <x v="368"/>
    <s v="Food Delivery"/>
    <n v="6256"/>
    <n v="0"/>
    <n v="-6256"/>
    <x v="3"/>
    <x v="3"/>
    <x v="0"/>
  </r>
  <r>
    <x v="0"/>
    <x v="369"/>
    <s v="Groceries"/>
    <n v="5321"/>
    <n v="0"/>
    <n v="-5321"/>
    <x v="9"/>
    <x v="3"/>
    <x v="0"/>
  </r>
  <r>
    <x v="1"/>
    <x v="369"/>
    <s v="Entertainment"/>
    <n v="1646"/>
    <n v="0"/>
    <n v="-1646"/>
    <x v="2"/>
    <x v="2"/>
    <x v="0"/>
  </r>
  <r>
    <x v="0"/>
    <x v="369"/>
    <s v="Shopping"/>
    <n v="4544"/>
    <n v="0"/>
    <n v="-4544"/>
    <x v="4"/>
    <x v="2"/>
    <x v="0"/>
  </r>
  <r>
    <x v="1"/>
    <x v="370"/>
    <s v="Fuel"/>
    <n v="3017"/>
    <n v="0"/>
    <n v="-3017"/>
    <x v="0"/>
    <x v="0"/>
    <x v="0"/>
  </r>
  <r>
    <x v="0"/>
    <x v="371"/>
    <s v="Fuel"/>
    <n v="7020"/>
    <n v="0"/>
    <n v="-7020"/>
    <x v="0"/>
    <x v="0"/>
    <x v="0"/>
  </r>
  <r>
    <x v="0"/>
    <x v="371"/>
    <s v="Food Delivery"/>
    <n v="397"/>
    <n v="0"/>
    <n v="-397"/>
    <x v="3"/>
    <x v="3"/>
    <x v="0"/>
  </r>
  <r>
    <x v="1"/>
    <x v="372"/>
    <s v="Groceries"/>
    <n v="1157"/>
    <n v="0"/>
    <n v="-1157"/>
    <x v="9"/>
    <x v="3"/>
    <x v="0"/>
  </r>
  <r>
    <x v="1"/>
    <x v="372"/>
    <s v="Utilities"/>
    <n v="820"/>
    <n v="0"/>
    <n v="-820"/>
    <x v="5"/>
    <x v="4"/>
    <x v="0"/>
  </r>
  <r>
    <x v="0"/>
    <x v="372"/>
    <s v="Cashback"/>
    <n v="0"/>
    <n v="10136"/>
    <n v="10136"/>
    <x v="7"/>
    <x v="5"/>
    <x v="1"/>
  </r>
  <r>
    <x v="0"/>
    <x v="373"/>
    <s v="Utilities"/>
    <n v="687"/>
    <n v="0"/>
    <n v="-687"/>
    <x v="5"/>
    <x v="4"/>
    <x v="0"/>
  </r>
  <r>
    <x v="1"/>
    <x v="374"/>
    <s v="Food Delivery"/>
    <n v="6437"/>
    <n v="0"/>
    <n v="-6437"/>
    <x v="3"/>
    <x v="3"/>
    <x v="0"/>
  </r>
  <r>
    <x v="0"/>
    <x v="374"/>
    <s v="Transport"/>
    <n v="4712"/>
    <n v="0"/>
    <n v="-4712"/>
    <x v="10"/>
    <x v="0"/>
    <x v="0"/>
  </r>
  <r>
    <x v="1"/>
    <x v="374"/>
    <s v="Groceries"/>
    <n v="6295"/>
    <n v="0"/>
    <n v="-6295"/>
    <x v="9"/>
    <x v="3"/>
    <x v="0"/>
  </r>
  <r>
    <x v="0"/>
    <x v="375"/>
    <s v="Salary"/>
    <n v="0"/>
    <n v="37138"/>
    <n v="37138"/>
    <x v="8"/>
    <x v="5"/>
    <x v="1"/>
  </r>
  <r>
    <x v="0"/>
    <x v="376"/>
    <s v="Fuel"/>
    <n v="7046"/>
    <n v="0"/>
    <n v="-7046"/>
    <x v="0"/>
    <x v="0"/>
    <x v="0"/>
  </r>
  <r>
    <x v="0"/>
    <x v="376"/>
    <s v="Utilities"/>
    <n v="4596"/>
    <n v="0"/>
    <n v="-4596"/>
    <x v="5"/>
    <x v="4"/>
    <x v="0"/>
  </r>
  <r>
    <x v="1"/>
    <x v="377"/>
    <s v="Shopping"/>
    <n v="393"/>
    <n v="0"/>
    <n v="-393"/>
    <x v="4"/>
    <x v="2"/>
    <x v="0"/>
  </r>
  <r>
    <x v="0"/>
    <x v="377"/>
    <s v="Food Delivery"/>
    <n v="626"/>
    <n v="0"/>
    <n v="-626"/>
    <x v="3"/>
    <x v="3"/>
    <x v="0"/>
  </r>
  <r>
    <x v="1"/>
    <x v="377"/>
    <s v="Healthcare"/>
    <n v="4702"/>
    <n v="0"/>
    <n v="-4702"/>
    <x v="1"/>
    <x v="1"/>
    <x v="0"/>
  </r>
  <r>
    <x v="0"/>
    <x v="378"/>
    <s v="Entertainment"/>
    <n v="6482"/>
    <n v="0"/>
    <n v="-6482"/>
    <x v="2"/>
    <x v="2"/>
    <x v="0"/>
  </r>
  <r>
    <x v="0"/>
    <x v="378"/>
    <s v="Food Delivery"/>
    <n v="3845"/>
    <n v="0"/>
    <n v="-3845"/>
    <x v="3"/>
    <x v="3"/>
    <x v="0"/>
  </r>
  <r>
    <x v="1"/>
    <x v="379"/>
    <s v="Transport"/>
    <n v="6374"/>
    <n v="0"/>
    <n v="-6374"/>
    <x v="10"/>
    <x v="0"/>
    <x v="0"/>
  </r>
  <r>
    <x v="1"/>
    <x v="379"/>
    <s v="Healthcare"/>
    <n v="2777"/>
    <n v="0"/>
    <n v="-2777"/>
    <x v="1"/>
    <x v="1"/>
    <x v="0"/>
  </r>
  <r>
    <x v="0"/>
    <x v="379"/>
    <s v="Transport"/>
    <n v="5728"/>
    <n v="0"/>
    <n v="-5728"/>
    <x v="10"/>
    <x v="0"/>
    <x v="0"/>
  </r>
  <r>
    <x v="1"/>
    <x v="380"/>
    <s v="Entertainment"/>
    <n v="5763"/>
    <n v="0"/>
    <n v="-5763"/>
    <x v="2"/>
    <x v="2"/>
    <x v="0"/>
  </r>
  <r>
    <x v="0"/>
    <x v="381"/>
    <s v="Groceries"/>
    <n v="2022"/>
    <n v="0"/>
    <n v="-2022"/>
    <x v="9"/>
    <x v="3"/>
    <x v="0"/>
  </r>
  <r>
    <x v="1"/>
    <x v="381"/>
    <s v="Transport"/>
    <n v="6262"/>
    <n v="0"/>
    <n v="-6262"/>
    <x v="10"/>
    <x v="0"/>
    <x v="0"/>
  </r>
  <r>
    <x v="1"/>
    <x v="381"/>
    <s v="Freelance"/>
    <n v="0"/>
    <n v="11607"/>
    <n v="11607"/>
    <x v="6"/>
    <x v="5"/>
    <x v="1"/>
  </r>
  <r>
    <x v="0"/>
    <x v="382"/>
    <s v="Transport"/>
    <n v="1299"/>
    <n v="0"/>
    <n v="-1299"/>
    <x v="10"/>
    <x v="0"/>
    <x v="0"/>
  </r>
  <r>
    <x v="1"/>
    <x v="382"/>
    <s v="Transport"/>
    <n v="1682"/>
    <n v="0"/>
    <n v="-1682"/>
    <x v="10"/>
    <x v="0"/>
    <x v="0"/>
  </r>
  <r>
    <x v="1"/>
    <x v="383"/>
    <s v="Groceries"/>
    <n v="4953"/>
    <n v="0"/>
    <n v="-4953"/>
    <x v="9"/>
    <x v="3"/>
    <x v="0"/>
  </r>
  <r>
    <x v="0"/>
    <x v="383"/>
    <s v="Cashback"/>
    <n v="0"/>
    <n v="43897"/>
    <n v="43897"/>
    <x v="7"/>
    <x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E7A212-4B56-424C-AAD3-A3D6596DEB21}" name="PTHEADLIN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3:B9" firstHeaderRow="1" firstDataRow="1" firstDataCol="1"/>
  <pivotFields count="10">
    <pivotField showAll="0"/>
    <pivotField numFmtId="14" showAll="0">
      <items count="3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t="default"/>
      </items>
    </pivotField>
    <pivotField showAll="0"/>
    <pivotField dataField="1" showAll="0"/>
    <pivotField showAll="0"/>
    <pivotField showAll="0"/>
    <pivotField showAll="0"/>
    <pivotField axis="axisRow" showAll="0" sortType="descending">
      <items count="7">
        <item x="4"/>
        <item x="3"/>
        <item x="1"/>
        <item h="1" x="5"/>
        <item x="2"/>
        <item x="0"/>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s>
  <rowFields count="1">
    <field x="7"/>
  </rowFields>
  <rowItems count="6">
    <i>
      <x v="4"/>
    </i>
    <i>
      <x v="5"/>
    </i>
    <i>
      <x v="1"/>
    </i>
    <i>
      <x v="2"/>
    </i>
    <i>
      <x/>
    </i>
    <i t="grand">
      <x/>
    </i>
  </rowItems>
  <colItems count="1">
    <i/>
  </colItems>
  <dataFields count="1">
    <dataField name="Sum of Debit" fld="3" baseField="0" baseItem="0" numFmtId="166"/>
  </dataFields>
  <formats count="2">
    <format dxfId="218">
      <pivotArea dataOnly="0" labelOnly="1" outline="0" axis="axisValues" fieldPosition="0"/>
    </format>
    <format dxfId="21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BE3B9A-8F09-4E58-AD62-4CE0523F913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U15:V22" firstHeaderRow="1" firstDataRow="1" firstDataCol="1" rowPageCount="1" colPageCount="1"/>
  <pivotFields count="10">
    <pivotField showAll="0"/>
    <pivotField numFmtId="14" multipleItemSelectionAllowed="1" showAll="0">
      <items count="3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t="default"/>
      </items>
    </pivotField>
    <pivotField showAll="0"/>
    <pivotField showAll="0"/>
    <pivotField showAll="0"/>
    <pivotField dataField="1" showAll="0"/>
    <pivotField showAll="0"/>
    <pivotField axis="axisRow" showAll="0">
      <items count="7">
        <item x="4"/>
        <item x="3"/>
        <item x="1"/>
        <item x="5"/>
        <item x="2"/>
        <item x="0"/>
        <item t="default"/>
      </items>
    </pivotField>
    <pivotField showAll="0"/>
    <pivotField axis="axisPage" multipleItemSelectionAllowed="1" showAll="0">
      <items count="15">
        <item x="0"/>
        <item x="1"/>
        <item x="2"/>
        <item x="3"/>
        <item x="4"/>
        <item x="5"/>
        <item x="6"/>
        <item x="7"/>
        <item x="8"/>
        <item x="9"/>
        <item x="10"/>
        <item x="11"/>
        <item x="12"/>
        <item x="13"/>
        <item t="default"/>
      </items>
    </pivotField>
  </pivotFields>
  <rowFields count="1">
    <field x="7"/>
  </rowFields>
  <rowItems count="7">
    <i>
      <x/>
    </i>
    <i>
      <x v="1"/>
    </i>
    <i>
      <x v="2"/>
    </i>
    <i>
      <x v="3"/>
    </i>
    <i>
      <x v="4"/>
    </i>
    <i>
      <x v="5"/>
    </i>
    <i t="grand">
      <x/>
    </i>
  </rowItems>
  <colItems count="1">
    <i/>
  </colItems>
  <pageFields count="1">
    <pageField fld="9" hier="-1"/>
  </pageFields>
  <dataFields count="1">
    <dataField name="Sum of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B32828-46FA-4595-A27C-40DB8C769C76}" name="PTTOP 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SUB CATEGORY">
  <location ref="D19:E24" firstHeaderRow="1" firstDataRow="1" firstDataCol="1"/>
  <pivotFields count="10">
    <pivotField showAll="0"/>
    <pivotField numFmtId="14" showAll="0">
      <items count="3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t="default"/>
      </items>
    </pivotField>
    <pivotField showAll="0"/>
    <pivotField dataField="1" showAll="0"/>
    <pivotField showAll="0"/>
    <pivotField showAll="0"/>
    <pivotField axis="axisRow" showAll="0" measureFilter="1">
      <items count="12">
        <item x="7"/>
        <item x="2"/>
        <item x="1"/>
        <item x="5"/>
        <item x="3"/>
        <item x="6"/>
        <item x="0"/>
        <item x="9"/>
        <item x="8"/>
        <item x="4"/>
        <item x="10"/>
        <item t="default"/>
      </items>
    </pivotField>
    <pivotField showAll="0" sortType="descending">
      <items count="7">
        <item x="4"/>
        <item x="3"/>
        <item x="1"/>
        <item x="5"/>
        <item x="2"/>
        <item x="0"/>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s>
  <rowFields count="1">
    <field x="6"/>
  </rowFields>
  <rowItems count="5">
    <i>
      <x v="1"/>
    </i>
    <i>
      <x v="2"/>
    </i>
    <i>
      <x v="4"/>
    </i>
    <i>
      <x v="9"/>
    </i>
    <i>
      <x v="10"/>
    </i>
  </rowItems>
  <colItems count="1">
    <i/>
  </colItems>
  <dataFields count="1">
    <dataField name="Sum of Debit" fld="3" baseField="0" baseItem="0" numFmtId="166"/>
  </dataFields>
  <formats count="2">
    <format dxfId="216">
      <pivotArea dataOnly="0" labelOnly="1" outline="0" axis="axisValues" fieldPosition="0"/>
    </format>
    <format dxfId="215">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A24A2B-D5ED-4C34-9FB6-77A02B14802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3:B10" firstHeaderRow="1" firstDataRow="1" firstDataCol="1"/>
  <pivotFields count="10">
    <pivotField showAll="0"/>
    <pivotField numFmtId="14" showAll="0">
      <items count="3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t="default"/>
      </items>
    </pivotField>
    <pivotField showAll="0"/>
    <pivotField dataField="1" showAll="0"/>
    <pivotField showAll="0"/>
    <pivotField showAll="0"/>
    <pivotField showAll="0"/>
    <pivotField axis="axisRow" showAll="0">
      <items count="7">
        <item x="4"/>
        <item x="3"/>
        <item x="1"/>
        <item x="5"/>
        <item x="2"/>
        <item x="0"/>
        <item t="default"/>
      </items>
    </pivotField>
    <pivotField showAll="0"/>
    <pivotField showAll="0">
      <items count="15">
        <item x="0"/>
        <item x="1"/>
        <item x="2"/>
        <item x="3"/>
        <item x="4"/>
        <item x="5"/>
        <item x="6"/>
        <item x="7"/>
        <item x="8"/>
        <item x="9"/>
        <item x="10"/>
        <item x="11"/>
        <item x="12"/>
        <item x="13"/>
        <item t="default"/>
      </items>
    </pivotField>
  </pivotFields>
  <rowFields count="1">
    <field x="7"/>
  </rowFields>
  <rowItems count="7">
    <i>
      <x/>
    </i>
    <i>
      <x v="1"/>
    </i>
    <i>
      <x v="2"/>
    </i>
    <i>
      <x v="3"/>
    </i>
    <i>
      <x v="4"/>
    </i>
    <i>
      <x v="5"/>
    </i>
    <i t="grand">
      <x/>
    </i>
  </rowItems>
  <colItems count="1">
    <i/>
  </colItems>
  <dataFields count="1">
    <dataField name="Sum of Debi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0B9E18-09AB-4388-93CE-F24405ADA11F}" name="PTLINCHAR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DATE">
  <location ref="J3:O16" firstHeaderRow="1" firstDataRow="2" firstDataCol="1" rowPageCount="1" colPageCount="1"/>
  <pivotFields count="10">
    <pivotField showAll="0"/>
    <pivotField numFmtId="14" showAll="0">
      <items count="3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t="default"/>
      </items>
    </pivotField>
    <pivotField showAll="0"/>
    <pivotField dataField="1" showAll="0"/>
    <pivotField showAll="0"/>
    <pivotField showAll="0"/>
    <pivotField showAll="0"/>
    <pivotField axis="axisCol" showAll="0" sortType="descending">
      <items count="7">
        <item x="4"/>
        <item x="3"/>
        <item x="1"/>
        <item x="5"/>
        <item x="2"/>
        <item x="0"/>
        <item t="default"/>
      </items>
      <autoSortScope>
        <pivotArea dataOnly="0" outline="0" fieldPosition="0">
          <references count="1">
            <reference field="4294967294" count="1" selected="0">
              <x v="0"/>
            </reference>
          </references>
        </pivotArea>
      </autoSortScope>
    </pivotField>
    <pivotField axis="axisPage" showAll="0">
      <items count="3">
        <item x="0"/>
        <item x="1"/>
        <item t="default"/>
      </items>
    </pivotField>
    <pivotField axis="axisRow" showAll="0">
      <items count="15">
        <item x="0"/>
        <item x="1"/>
        <item x="2"/>
        <item x="3"/>
        <item x="4"/>
        <item x="5"/>
        <item x="6"/>
        <item x="7"/>
        <item x="8"/>
        <item x="9"/>
        <item x="10"/>
        <item x="11"/>
        <item x="12"/>
        <item x="13"/>
        <item t="default"/>
      </items>
    </pivotField>
  </pivotFields>
  <rowFields count="1">
    <field x="9"/>
  </rowFields>
  <rowItems count="12">
    <i>
      <x v="1"/>
    </i>
    <i>
      <x v="2"/>
    </i>
    <i>
      <x v="3"/>
    </i>
    <i>
      <x v="4"/>
    </i>
    <i>
      <x v="5"/>
    </i>
    <i>
      <x v="6"/>
    </i>
    <i>
      <x v="7"/>
    </i>
    <i>
      <x v="8"/>
    </i>
    <i>
      <x v="9"/>
    </i>
    <i>
      <x v="10"/>
    </i>
    <i>
      <x v="11"/>
    </i>
    <i>
      <x v="12"/>
    </i>
  </rowItems>
  <colFields count="1">
    <field x="7"/>
  </colFields>
  <colItems count="5">
    <i>
      <x v="4"/>
    </i>
    <i>
      <x v="5"/>
    </i>
    <i>
      <x v="1"/>
    </i>
    <i>
      <x v="2"/>
    </i>
    <i>
      <x/>
    </i>
  </colItems>
  <pageFields count="1">
    <pageField fld="8" item="0" hier="-1"/>
  </pageFields>
  <dataFields count="1">
    <dataField name="Sum of Debit" fld="3" baseField="0" baseItem="0" numFmtId="3"/>
  </dataField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3" format="10" series="1">
      <pivotArea type="data" outline="0" fieldPosition="0">
        <references count="2">
          <reference field="4294967294" count="1" selected="0">
            <x v="0"/>
          </reference>
          <reference field="7" count="1" selected="0">
            <x v="4"/>
          </reference>
        </references>
      </pivotArea>
    </chartFormat>
    <chartFormat chart="13" format="11" series="1">
      <pivotArea type="data" outline="0" fieldPosition="0">
        <references count="2">
          <reference field="4294967294" count="1" selected="0">
            <x v="0"/>
          </reference>
          <reference field="7" count="1" selected="0">
            <x v="1"/>
          </reference>
        </references>
      </pivotArea>
    </chartFormat>
    <chartFormat chart="13" format="12" series="1">
      <pivotArea type="data" outline="0" fieldPosition="0">
        <references count="2">
          <reference field="4294967294" count="1" selected="0">
            <x v="0"/>
          </reference>
          <reference field="7" count="1" selected="0">
            <x v="5"/>
          </reference>
        </references>
      </pivotArea>
    </chartFormat>
    <chartFormat chart="13" format="13" series="1">
      <pivotArea type="data" outline="0" fieldPosition="0">
        <references count="2">
          <reference field="4294967294" count="1" selected="0">
            <x v="0"/>
          </reference>
          <reference field="7" count="1" selected="0">
            <x v="2"/>
          </reference>
        </references>
      </pivotArea>
    </chartFormat>
    <chartFormat chart="13" format="14" series="1">
      <pivotArea type="data" outline="0" fieldPosition="0">
        <references count="2">
          <reference field="4294967294" count="1" selected="0">
            <x v="0"/>
          </reference>
          <reference field="7" count="1" selected="0">
            <x v="0"/>
          </reference>
        </references>
      </pivotArea>
    </chartFormat>
    <chartFormat chart="13"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B84FC9-9706-45EE-B16A-D1FBFBC48E93}" name="PTTREEMAP" cacheId="0" applyNumberFormats="0" applyBorderFormats="0" applyFontFormats="0" applyPatternFormats="0" applyAlignmentFormats="0" applyWidthHeightFormats="1" dataCaption="Values" grandTotalCaption="Net" updatedVersion="8" minRefreshableVersion="3" useAutoFormatting="1" rowGrandTotals="0" itemPrintTitles="1" createdVersion="8" indent="0" compact="0" compactData="0" multipleFieldFilters="0" chartFormat="12" rowHeaderCaption="DATE">
  <location ref="Q3:S11" firstHeaderRow="1" firstDataRow="1" firstDataCol="2" rowPageCount="1" colPageCount="1"/>
  <pivotFields count="10">
    <pivotField compact="0" outline="0" showAll="0"/>
    <pivotField compact="0" numFmtId="14" outline="0" showAll="0">
      <items count="3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t="default"/>
      </items>
    </pivotField>
    <pivotField compact="0" outline="0" showAll="0"/>
    <pivotField dataField="1" compact="0" outline="0" showAll="0"/>
    <pivotField compact="0" outline="0" showAll="0"/>
    <pivotField compact="0" outline="0" showAll="0"/>
    <pivotField axis="axisRow" compact="0" outline="0" showAll="0">
      <items count="12">
        <item x="7"/>
        <item x="2"/>
        <item x="3"/>
        <item x="6"/>
        <item x="0"/>
        <item x="9"/>
        <item x="1"/>
        <item x="8"/>
        <item x="4"/>
        <item x="10"/>
        <item x="5"/>
        <item t="default"/>
      </items>
    </pivotField>
    <pivotField axis="axisRow" compact="0" outline="0" showAll="0" defaultSubtotal="0">
      <items count="6">
        <item x="4"/>
        <item x="3"/>
        <item x="1"/>
        <item x="5"/>
        <item x="2"/>
        <item x="0"/>
      </items>
    </pivotField>
    <pivotField axis="axisPage" compact="0" outline="0" showAll="0">
      <items count="3">
        <item x="0"/>
        <item x="1"/>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2">
    <field x="7"/>
    <field x="6"/>
  </rowFields>
  <rowItems count="8">
    <i>
      <x/>
      <x v="10"/>
    </i>
    <i>
      <x v="1"/>
      <x v="2"/>
    </i>
    <i r="1">
      <x v="5"/>
    </i>
    <i>
      <x v="2"/>
      <x v="6"/>
    </i>
    <i>
      <x v="4"/>
      <x v="1"/>
    </i>
    <i r="1">
      <x v="8"/>
    </i>
    <i>
      <x v="5"/>
      <x v="4"/>
    </i>
    <i r="1">
      <x v="9"/>
    </i>
  </rowItems>
  <colItems count="1">
    <i/>
  </colItems>
  <pageFields count="1">
    <pageField fld="8" item="0" hier="-1"/>
  </pageFields>
  <dataFields count="1">
    <dataField name="Sum of Debi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01F633-A354-46BE-A31E-D4968A302611}" name="PTSLICER"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CATEGORY">
  <location ref="Q15:Q20" firstHeaderRow="1" firstDataRow="1" firstDataCol="1" rowPageCount="1" colPageCount="1"/>
  <pivotFields count="10">
    <pivotField showAll="0"/>
    <pivotField numFmtId="14" showAll="0">
      <items count="3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t="default"/>
      </items>
    </pivotField>
    <pivotField showAll="0"/>
    <pivotField showAll="0"/>
    <pivotField showAll="0"/>
    <pivotField showAll="0"/>
    <pivotField showAll="0"/>
    <pivotField axis="axisRow" showAll="0">
      <items count="7">
        <item x="4"/>
        <item x="3"/>
        <item x="1"/>
        <item x="5"/>
        <item x="2"/>
        <item x="0"/>
        <item t="default"/>
      </items>
    </pivotField>
    <pivotField axis="axisPage" showAll="0">
      <items count="3">
        <item x="0"/>
        <item x="1"/>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4"/>
    </i>
    <i>
      <x v="5"/>
    </i>
  </rowItems>
  <colItems count="1">
    <i/>
  </colItems>
  <pageFields count="1">
    <pageField fld="8" item="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D6C84A-15D6-4A3F-A348-F5BBEC06F708}" name="PTEXPCL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ATE">
  <location ref="D3:E16" firstHeaderRow="1" firstDataRow="1" firstDataCol="1" rowPageCount="1" colPageCount="1"/>
  <pivotFields count="10">
    <pivotField showAll="0"/>
    <pivotField numFmtId="14" showAll="0">
      <items count="3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t="default"/>
      </items>
    </pivotField>
    <pivotField showAll="0"/>
    <pivotField dataField="1" showAll="0"/>
    <pivotField showAll="0"/>
    <pivotField showAll="0"/>
    <pivotField showAll="0"/>
    <pivotField showAll="0">
      <items count="7">
        <item x="4"/>
        <item x="3"/>
        <item x="1"/>
        <item x="5"/>
        <item x="2"/>
        <item x="0"/>
        <item t="default"/>
      </items>
    </pivotField>
    <pivotField axis="axisPage" showAll="0">
      <items count="3">
        <item x="0"/>
        <item x="1"/>
        <item t="default"/>
      </items>
    </pivotField>
    <pivotField axis="axisRow" showAll="0">
      <items count="15">
        <item x="0"/>
        <item x="1"/>
        <item x="2"/>
        <item x="3"/>
        <item x="4"/>
        <item x="5"/>
        <item x="6"/>
        <item x="7"/>
        <item x="8"/>
        <item x="9"/>
        <item x="10"/>
        <item x="11"/>
        <item x="12"/>
        <item x="13"/>
        <item t="default"/>
      </items>
    </pivotField>
  </pivotFields>
  <rowFields count="1">
    <field x="9"/>
  </rowFields>
  <rowItems count="13">
    <i>
      <x v="1"/>
    </i>
    <i>
      <x v="2"/>
    </i>
    <i>
      <x v="3"/>
    </i>
    <i>
      <x v="4"/>
    </i>
    <i>
      <x v="5"/>
    </i>
    <i>
      <x v="6"/>
    </i>
    <i>
      <x v="7"/>
    </i>
    <i>
      <x v="8"/>
    </i>
    <i>
      <x v="9"/>
    </i>
    <i>
      <x v="10"/>
    </i>
    <i>
      <x v="11"/>
    </i>
    <i>
      <x v="12"/>
    </i>
    <i t="grand">
      <x/>
    </i>
  </rowItems>
  <colItems count="1">
    <i/>
  </colItems>
  <pageFields count="1">
    <pageField fld="8" hier="-1"/>
  </pageFields>
  <dataFields count="1">
    <dataField name="Sum of Debit" fld="3" baseField="0" baseItem="0" numFmtId="3"/>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967B4D-BBA6-4725-AE4B-9A35C781DF23}" name="PTWFCHART" cacheId="0" applyNumberFormats="0" applyBorderFormats="0" applyFontFormats="0" applyPatternFormats="0" applyAlignmentFormats="0" applyWidthHeightFormats="1" dataCaption="Values" grandTotalCaption="Net" updatedVersion="8" minRefreshableVersion="3" useAutoFormatting="1" itemPrintTitles="1" createdVersion="8" indent="0" outline="1" outlineData="1" multipleFieldFilters="0" chartFormat="12" rowHeaderCaption="DATE">
  <location ref="G14:H21" firstHeaderRow="1" firstDataRow="1" firstDataCol="1" rowPageCount="1" colPageCount="1"/>
  <pivotFields count="10">
    <pivotField showAll="0"/>
    <pivotField numFmtId="14" showAll="0">
      <items count="3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t="default"/>
      </items>
    </pivotField>
    <pivotField showAll="0"/>
    <pivotField showAll="0"/>
    <pivotField showAll="0"/>
    <pivotField dataField="1" showAll="0"/>
    <pivotField showAll="0"/>
    <pivotField axis="axisRow" showAll="0">
      <items count="7">
        <item x="5"/>
        <item x="4"/>
        <item x="3"/>
        <item x="1"/>
        <item x="2"/>
        <item x="0"/>
        <item t="default"/>
      </items>
    </pivotField>
    <pivotField showAll="0"/>
    <pivotField axis="axisPage" multipleItemSelectionAllowed="1"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7">
    <i>
      <x/>
    </i>
    <i>
      <x v="1"/>
    </i>
    <i>
      <x v="2"/>
    </i>
    <i>
      <x v="3"/>
    </i>
    <i>
      <x v="4"/>
    </i>
    <i>
      <x v="5"/>
    </i>
    <i t="grand">
      <x/>
    </i>
  </rowItems>
  <colItems count="1">
    <i/>
  </colItems>
  <pageFields count="1">
    <pageField fld="9" hier="-1"/>
  </pageFields>
  <dataFields count="1">
    <dataField name="Sum of Amount" fld="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1CE1B7-FF1D-4B3F-BB68-24A28008C472}" name="PTNETCOLCHART" cacheId="0" applyNumberFormats="0" applyBorderFormats="0" applyFontFormats="0" applyPatternFormats="0" applyAlignmentFormats="0" applyWidthHeightFormats="1" dataCaption="Values" grandTotalCaption="Net" updatedVersion="8" minRefreshableVersion="3" useAutoFormatting="1" itemPrintTitles="1" createdVersion="8" indent="0" outline="1" outlineData="1" multipleFieldFilters="0" chartFormat="12" rowHeaderCaption="DATE">
  <location ref="G42:H55" firstHeaderRow="1" firstDataRow="1" firstDataCol="1"/>
  <pivotFields count="10">
    <pivotField showAll="0"/>
    <pivotField numFmtId="14" showAll="0">
      <items count="3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t="default"/>
      </items>
    </pivotField>
    <pivotField showAll="0"/>
    <pivotField showAll="0"/>
    <pivotField showAll="0"/>
    <pivotField dataField="1" showAll="0"/>
    <pivotField showAll="0"/>
    <pivotField showAll="0">
      <items count="7">
        <item x="4"/>
        <item x="3"/>
        <item x="1"/>
        <item x="5"/>
        <item x="2"/>
        <item x="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Amount" fld="5" baseField="0" baseItem="0" numFmtId="3"/>
  </dataFields>
  <chartFormats count="1">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670AAB-3221-4F36-87B9-C461EACE514C}" name="PTDOUGHNU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A15:B18" firstHeaderRow="1" firstDataRow="1" firstDataCol="1"/>
  <pivotFields count="10">
    <pivotField axis="axisRow" showAll="0">
      <items count="3">
        <item x="0"/>
        <item x="1"/>
        <item t="default"/>
      </items>
    </pivotField>
    <pivotField numFmtId="14" showAll="0">
      <items count="3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t="default"/>
      </items>
    </pivotField>
    <pivotField showAll="0"/>
    <pivotField dataField="1" showAll="0"/>
    <pivotField showAll="0"/>
    <pivotField showAll="0"/>
    <pivotField showAll="0"/>
    <pivotField showAll="0">
      <items count="7">
        <item x="4"/>
        <item x="3"/>
        <item x="1"/>
        <item x="5"/>
        <item x="2"/>
        <item x="0"/>
        <item t="default"/>
      </items>
    </pivotField>
    <pivotField showAll="0"/>
    <pivotField showAll="0">
      <items count="15">
        <item x="0"/>
        <item x="1"/>
        <item x="2"/>
        <item x="3"/>
        <item x="4"/>
        <item x="5"/>
        <item x="6"/>
        <item x="7"/>
        <item x="8"/>
        <item x="9"/>
        <item x="10"/>
        <item x="11"/>
        <item x="12"/>
        <item x="13"/>
        <item t="default"/>
      </items>
    </pivotField>
  </pivotFields>
  <rowFields count="1">
    <field x="0"/>
  </rowFields>
  <rowItems count="3">
    <i>
      <x/>
    </i>
    <i>
      <x v="1"/>
    </i>
    <i t="grand">
      <x/>
    </i>
  </rowItems>
  <colItems count="1">
    <i/>
  </colItems>
  <dataFields count="1">
    <dataField name="Sum of Debit" fld="3" baseField="0" baseItem="0" numFmtId="166"/>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9CA2A83B-2EF5-4DE2-A2C2-95B7D3552A01}" autoFormatId="16" applyNumberFormats="0" applyBorderFormats="0" applyFontFormats="0" applyPatternFormats="0" applyAlignmentFormats="0" applyWidthHeightFormats="0">
  <queryTableRefresh nextId="10">
    <queryTableFields count="9">
      <queryTableField id="1" name="Account Type" tableColumnId="1"/>
      <queryTableField id="2" name="Date" tableColumnId="2"/>
      <queryTableField id="3" name="Description" tableColumnId="3"/>
      <queryTableField id="4" name="Debit" tableColumnId="4"/>
      <queryTableField id="5" name="Credit" tableColumnId="5"/>
      <queryTableField id="6" name="Amount" tableColumnId="6"/>
      <queryTableField id="7" name="Sub Category" tableColumnId="7"/>
      <queryTableField id="8" name="Category" tableColumnId="8"/>
      <queryTableField id="9" name="Category Typ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8160870F-A656-4D32-89D3-AE4560B68856}" autoFormatId="16" applyNumberFormats="0" applyBorderFormats="0" applyFontFormats="0" applyPatternFormats="0" applyAlignmentFormats="0" applyWidthHeightFormats="0">
  <queryTableRefresh nextId="4">
    <queryTableFields count="3">
      <queryTableField id="1" name="Sub Category" tableColumnId="1"/>
      <queryTableField id="2" name="Category" tableColumnId="2"/>
      <queryTableField id="3" name="Category Typ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8DAEC763-CA17-4CE9-97A9-94F3AF72CF38}" autoFormatId="16" applyNumberFormats="0" applyBorderFormats="0" applyFontFormats="0" applyPatternFormats="0" applyAlignmentFormats="0" applyWidthHeightFormats="0">
  <queryTableRefresh nextId="10">
    <queryTableFields count="9">
      <queryTableField id="1" name="Account Type" tableColumnId="1"/>
      <queryTableField id="2" name="Date" tableColumnId="2"/>
      <queryTableField id="3" name="Description" tableColumnId="3"/>
      <queryTableField id="4" name="Debit" tableColumnId="4"/>
      <queryTableField id="5" name="Credit" tableColumnId="5"/>
      <queryTableField id="6" name="Amount (Credit - Debit)" tableColumnId="6"/>
      <queryTableField id="7" name="Sub Category" tableColumnId="7"/>
      <queryTableField id="8" name="Category" tableColumnId="8"/>
      <queryTableField id="9" name="Category Typ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6F12B51-6885-46DF-80AC-D1A8F366514A}" sourceName="Category">
  <pivotTables>
    <pivotTable tabId="6" name="PTWFCHART"/>
    <pivotTable tabId="6" name="PivotTable1"/>
    <pivotTable tabId="6" name="PivotTable12"/>
    <pivotTable tabId="6" name="PTDOUGHNUT"/>
    <pivotTable tabId="6" name="PTEXPCLCHART"/>
    <pivotTable tabId="6" name="PTLINCHART"/>
    <pivotTable tabId="6" name="PTNETCOLCHART"/>
    <pivotTable tabId="6" name="PTTOP 5"/>
    <pivotTable tabId="6" name="PTTREEMAP"/>
  </pivotTables>
  <data>
    <tabular pivotCacheId="1548864686">
      <items count="6">
        <i x="4" s="1"/>
        <i x="3" s="1"/>
        <i x="1" s="1"/>
        <i x="5" s="1"/>
        <i x="2"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4F6190E5-E36C-4A85-A14B-AFD25A3C14F5}" sourceName="Months (Date)">
  <pivotTables>
    <pivotTable tabId="6" name="PTTREEMAP"/>
    <pivotTable tabId="6" name="PivotTable1"/>
    <pivotTable tabId="6" name="PivotTable12"/>
    <pivotTable tabId="6" name="PTDOUGHNUT"/>
    <pivotTable tabId="6" name="PTEXPCLCHART"/>
    <pivotTable tabId="6" name="PTLINCHART"/>
    <pivotTable tabId="6" name="PTNETCOLCHART"/>
    <pivotTable tabId="6" name="PTTOP 5"/>
    <pivotTable tabId="6" name="PTWFCHART"/>
  </pivotTables>
  <data>
    <tabular pivotCacheId="1548864686">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A463D3A-5F2E-438C-AF07-1BFD30F0085A}" cache="Slicer_Category" caption="Category" style="SlicerStyleLight6" rowHeight="288000"/>
  <slicer name="Months" xr10:uid="{CA599DAF-6EB1-46F3-BF1D-C6D8673FB74F}" cache="Slicer_Months__Date" caption="Months (Date)" columnCount="2" style="SlicerStyleLight6"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569F05-92D5-42DB-BE50-C206B9C35013}" name="TRANSCATIONS" displayName="TRANSCATIONS" ref="A1:I350" tableType="queryTable" totalsRowShown="0">
  <autoFilter ref="A1:I350" xr:uid="{9A569F05-92D5-42DB-BE50-C206B9C35013}"/>
  <tableColumns count="9">
    <tableColumn id="1" xr3:uid="{D7CD45E6-F682-4ECC-B862-5159804EC5AF}" uniqueName="1" name="Account Type" queryTableFieldId="1" dataDxfId="214"/>
    <tableColumn id="2" xr3:uid="{C251854E-D120-4C38-8EC5-9F1FAD6B8F46}" uniqueName="2" name="Date" queryTableFieldId="2" dataDxfId="213"/>
    <tableColumn id="3" xr3:uid="{ADA2FF21-57E6-44ED-B8D5-3E8B7986B177}" uniqueName="3" name="Description" queryTableFieldId="3" dataDxfId="212"/>
    <tableColumn id="4" xr3:uid="{7C68E64A-0EEB-4B1E-88F3-25085EE7896E}" uniqueName="4" name="Debit" queryTableFieldId="4"/>
    <tableColumn id="5" xr3:uid="{0040CF65-509A-43F6-B51E-B45A4808DF7B}" uniqueName="5" name="Credit" queryTableFieldId="5"/>
    <tableColumn id="6" xr3:uid="{24DC785F-2088-46DB-B009-483D23802216}" uniqueName="6" name="Amount" queryTableFieldId="6"/>
    <tableColumn id="7" xr3:uid="{685B94B2-6BD3-4377-90F5-EA7A87B6121E}" uniqueName="7" name="Sub Category" queryTableFieldId="7" dataDxfId="211"/>
    <tableColumn id="8" xr3:uid="{F1CD3522-7D92-4D1B-8458-4C6BECFF900D}" uniqueName="8" name="Category" queryTableFieldId="8" dataDxfId="210"/>
    <tableColumn id="9" xr3:uid="{2E4D8120-B7EA-4536-A254-B95C99267F41}" uniqueName="9" name="Category Type" queryTableFieldId="9" dataDxfId="20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531BAD-E1E3-450B-B9AE-5050476D5191}" name="DATA_VALIDATION" displayName="DATA_VALIDATION" ref="A1:C12" tableType="queryTable" totalsRowShown="0">
  <autoFilter ref="A1:C12" xr:uid="{A5531BAD-E1E3-450B-B9AE-5050476D5191}"/>
  <tableColumns count="3">
    <tableColumn id="1" xr3:uid="{BDE2F54B-B17D-4706-A734-9ADDD5AD3DCF}" uniqueName="1" name="Sub Category" queryTableFieldId="1" dataDxfId="208"/>
    <tableColumn id="2" xr3:uid="{F562BDDC-F442-44FB-99E4-5812247DFC89}" uniqueName="2" name="Category" queryTableFieldId="2" dataDxfId="207"/>
    <tableColumn id="3" xr3:uid="{E8774D64-B123-41A7-BACA-F0087190F940}" uniqueName="3" name="Category Type" queryTableFieldId="3" dataDxfId="20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BE0850-B0AE-462A-BF1D-036198A0B25C}" name="JUNE___PRESENT" displayName="JUNE___PRESENT" ref="A1:I399" tableType="queryTable" totalsRowShown="0">
  <autoFilter ref="A1:I399" xr:uid="{34BE0850-B0AE-462A-BF1D-036198A0B25C}"/>
  <tableColumns count="9">
    <tableColumn id="1" xr3:uid="{3B0AB821-E8F7-4B41-AD8C-AC3C1CA66003}" uniqueName="1" name="Account Type" queryTableFieldId="1" dataDxfId="205"/>
    <tableColumn id="2" xr3:uid="{3D25308B-459A-41D7-92E8-F61483CB9FE5}" uniqueName="2" name="Date" queryTableFieldId="2" dataDxfId="204"/>
    <tableColumn id="3" xr3:uid="{BE06E2D5-8721-496D-BEAC-964705158A9C}" uniqueName="3" name="Description" queryTableFieldId="3" dataDxfId="203"/>
    <tableColumn id="4" xr3:uid="{B0ABB38B-E68E-45F3-9526-2E36A9291A5D}" uniqueName="4" name="Debit" queryTableFieldId="4"/>
    <tableColumn id="5" xr3:uid="{4B006B80-F032-499C-BF6C-C39C79955396}" uniqueName="5" name="Credit" queryTableFieldId="5"/>
    <tableColumn id="6" xr3:uid="{9B8B536E-C027-40C4-83FC-14FA3509A974}" uniqueName="6" name="Amount (Credit - Debit)" queryTableFieldId="6"/>
    <tableColumn id="7" xr3:uid="{AE88D083-DB4D-4844-8F3A-432CC08239F6}" uniqueName="7" name="Sub Category" queryTableFieldId="7" dataDxfId="202"/>
    <tableColumn id="8" xr3:uid="{679E92A1-D575-414C-BB73-502CFF97719A}" uniqueName="8" name="Category" queryTableFieldId="8" dataDxfId="201"/>
    <tableColumn id="9" xr3:uid="{DCFB54E8-731A-41DF-B29F-60E82886A867}" uniqueName="9" name="Category Type" queryTableFieldId="9" dataDxfId="20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94FA1-8E6F-47E0-A549-2E504CB4197C}">
  <dimension ref="A3:B9"/>
  <sheetViews>
    <sheetView workbookViewId="0">
      <selection activeCell="B6" sqref="B6"/>
    </sheetView>
  </sheetViews>
  <sheetFormatPr defaultRowHeight="14.4" x14ac:dyDescent="0.3"/>
  <cols>
    <col min="1" max="1" width="12.21875" bestFit="1" customWidth="1"/>
    <col min="2" max="2" width="11.88671875" bestFit="1" customWidth="1"/>
  </cols>
  <sheetData>
    <row r="3" spans="1:2" x14ac:dyDescent="0.3">
      <c r="A3" s="2" t="s">
        <v>30</v>
      </c>
      <c r="B3" s="4" t="s">
        <v>29</v>
      </c>
    </row>
    <row r="4" spans="1:2" x14ac:dyDescent="0.3">
      <c r="A4" s="3" t="s">
        <v>16</v>
      </c>
      <c r="B4" s="12">
        <v>648041</v>
      </c>
    </row>
    <row r="5" spans="1:2" x14ac:dyDescent="0.3">
      <c r="A5" s="3" t="s">
        <v>11</v>
      </c>
      <c r="B5" s="12">
        <v>581439</v>
      </c>
    </row>
    <row r="6" spans="1:2" x14ac:dyDescent="0.3">
      <c r="A6" s="3" t="s">
        <v>18</v>
      </c>
      <c r="B6" s="12">
        <v>525715</v>
      </c>
    </row>
    <row r="7" spans="1:2" x14ac:dyDescent="0.3">
      <c r="A7" s="3" t="s">
        <v>14</v>
      </c>
      <c r="B7" s="12">
        <v>301968</v>
      </c>
    </row>
    <row r="8" spans="1:2" x14ac:dyDescent="0.3">
      <c r="A8" s="3" t="s">
        <v>21</v>
      </c>
      <c r="B8" s="12">
        <v>276397</v>
      </c>
    </row>
    <row r="9" spans="1:2" x14ac:dyDescent="0.3">
      <c r="A9" s="3" t="s">
        <v>28</v>
      </c>
      <c r="B9" s="12">
        <v>2333560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B0453-5738-412D-85A0-C4F86589E908}">
  <dimension ref="A1:V55"/>
  <sheetViews>
    <sheetView topLeftCell="N1" workbookViewId="0">
      <selection activeCell="E19" sqref="E19"/>
    </sheetView>
  </sheetViews>
  <sheetFormatPr defaultRowHeight="14.4" x14ac:dyDescent="0.3"/>
  <cols>
    <col min="1" max="1" width="12.21875" bestFit="1" customWidth="1"/>
    <col min="2" max="2" width="11.88671875" bestFit="1" customWidth="1"/>
    <col min="4" max="4" width="16.21875" bestFit="1" customWidth="1"/>
    <col min="5" max="5" width="11.88671875" bestFit="1" customWidth="1"/>
    <col min="7" max="7" width="12.6640625" bestFit="1" customWidth="1"/>
    <col min="8" max="8" width="14.44140625" bestFit="1" customWidth="1"/>
    <col min="10" max="10" width="12.6640625" bestFit="1" customWidth="1"/>
    <col min="11" max="11" width="15.5546875" bestFit="1" customWidth="1"/>
    <col min="12" max="15" width="6.44140625" bestFit="1" customWidth="1"/>
    <col min="16" max="16" width="7.33203125" bestFit="1" customWidth="1"/>
    <col min="17" max="17" width="12.6640625" bestFit="1" customWidth="1"/>
    <col min="18" max="18" width="14.44140625" bestFit="1" customWidth="1"/>
    <col min="19" max="19" width="25" bestFit="1" customWidth="1"/>
    <col min="21" max="21" width="12.6640625" bestFit="1" customWidth="1"/>
    <col min="22" max="22" width="14.44140625" bestFit="1" customWidth="1"/>
  </cols>
  <sheetData>
    <row r="1" spans="1:22" x14ac:dyDescent="0.3">
      <c r="D1" s="2" t="s">
        <v>8</v>
      </c>
      <c r="E1" t="s">
        <v>37</v>
      </c>
      <c r="J1" s="2" t="s">
        <v>8</v>
      </c>
      <c r="K1" t="s">
        <v>12</v>
      </c>
      <c r="Q1" s="2" t="s">
        <v>8</v>
      </c>
      <c r="R1" t="s">
        <v>12</v>
      </c>
      <c r="S1" t="str">
        <f>R15 &amp; "-" &amp; _xlfn.IFS(
    V13="(Multiple Items)","Multiple Periods",
    V13="(ALL)","YTD",
    TRUE,V13
)</f>
        <v>All Expenses-YTD</v>
      </c>
    </row>
    <row r="3" spans="1:22" x14ac:dyDescent="0.3">
      <c r="A3" s="2" t="s">
        <v>30</v>
      </c>
      <c r="B3" t="s">
        <v>29</v>
      </c>
      <c r="D3" s="2" t="s">
        <v>38</v>
      </c>
      <c r="E3" t="s">
        <v>29</v>
      </c>
      <c r="J3" s="2" t="s">
        <v>29</v>
      </c>
      <c r="K3" s="2" t="s">
        <v>41</v>
      </c>
      <c r="Q3" s="2" t="s">
        <v>7</v>
      </c>
      <c r="R3" s="2" t="s">
        <v>6</v>
      </c>
      <c r="S3" t="s">
        <v>29</v>
      </c>
    </row>
    <row r="4" spans="1:22" x14ac:dyDescent="0.3">
      <c r="A4" s="3" t="s">
        <v>21</v>
      </c>
      <c r="B4" s="15">
        <v>276397</v>
      </c>
      <c r="D4" s="3" t="s">
        <v>31</v>
      </c>
      <c r="E4" s="6">
        <v>321192</v>
      </c>
      <c r="J4" s="2" t="s">
        <v>38</v>
      </c>
      <c r="K4" t="s">
        <v>16</v>
      </c>
      <c r="L4" t="s">
        <v>11</v>
      </c>
      <c r="M4" t="s">
        <v>18</v>
      </c>
      <c r="N4" t="s">
        <v>14</v>
      </c>
      <c r="O4" t="s">
        <v>21</v>
      </c>
      <c r="Q4" t="s">
        <v>21</v>
      </c>
      <c r="R4" t="s">
        <v>20</v>
      </c>
      <c r="S4" s="15">
        <v>276397</v>
      </c>
    </row>
    <row r="5" spans="1:22" x14ac:dyDescent="0.3">
      <c r="A5" s="3" t="s">
        <v>18</v>
      </c>
      <c r="B5" s="15">
        <v>525715</v>
      </c>
      <c r="D5" s="3" t="s">
        <v>32</v>
      </c>
      <c r="E5" s="6">
        <v>117148</v>
      </c>
      <c r="J5" s="3" t="s">
        <v>31</v>
      </c>
      <c r="K5" s="6">
        <v>73295</v>
      </c>
      <c r="L5" s="6">
        <v>76647</v>
      </c>
      <c r="M5" s="6">
        <v>77426</v>
      </c>
      <c r="N5" s="6">
        <v>46244</v>
      </c>
      <c r="O5" s="6">
        <v>47580</v>
      </c>
      <c r="Q5" t="s">
        <v>18</v>
      </c>
      <c r="R5" t="s">
        <v>17</v>
      </c>
      <c r="S5" s="15">
        <v>291834</v>
      </c>
    </row>
    <row r="6" spans="1:22" x14ac:dyDescent="0.3">
      <c r="A6" s="3" t="s">
        <v>14</v>
      </c>
      <c r="B6" s="15">
        <v>301968</v>
      </c>
      <c r="D6" s="3" t="s">
        <v>33</v>
      </c>
      <c r="E6" s="6">
        <v>145135</v>
      </c>
      <c r="J6" s="3" t="s">
        <v>32</v>
      </c>
      <c r="K6" s="6">
        <v>22215</v>
      </c>
      <c r="L6" s="6">
        <v>34826</v>
      </c>
      <c r="M6" s="6">
        <v>22955</v>
      </c>
      <c r="N6" s="6">
        <v>32852</v>
      </c>
      <c r="O6" s="6">
        <v>4300</v>
      </c>
      <c r="R6" t="s">
        <v>26</v>
      </c>
      <c r="S6" s="15">
        <v>233881</v>
      </c>
    </row>
    <row r="7" spans="1:22" x14ac:dyDescent="0.3">
      <c r="A7" s="3" t="s">
        <v>23</v>
      </c>
      <c r="B7" s="15">
        <v>0</v>
      </c>
      <c r="D7" s="3" t="s">
        <v>34</v>
      </c>
      <c r="E7" s="6">
        <v>147796</v>
      </c>
      <c r="J7" s="3" t="s">
        <v>33</v>
      </c>
      <c r="K7" s="6">
        <v>34736</v>
      </c>
      <c r="L7" s="6">
        <v>28978</v>
      </c>
      <c r="M7" s="6">
        <v>28776</v>
      </c>
      <c r="N7" s="6">
        <v>23970</v>
      </c>
      <c r="O7" s="6">
        <v>28675</v>
      </c>
      <c r="Q7" t="s">
        <v>14</v>
      </c>
      <c r="R7" t="s">
        <v>13</v>
      </c>
      <c r="S7" s="15">
        <v>301968</v>
      </c>
    </row>
    <row r="8" spans="1:22" x14ac:dyDescent="0.3">
      <c r="A8" s="3" t="s">
        <v>16</v>
      </c>
      <c r="B8" s="15">
        <v>648041</v>
      </c>
      <c r="D8" s="3" t="s">
        <v>35</v>
      </c>
      <c r="E8" s="6">
        <v>181895</v>
      </c>
      <c r="J8" s="3" t="s">
        <v>34</v>
      </c>
      <c r="K8" s="6">
        <v>31442</v>
      </c>
      <c r="L8" s="6">
        <v>25216</v>
      </c>
      <c r="M8" s="6">
        <v>52843</v>
      </c>
      <c r="N8" s="6">
        <v>13885</v>
      </c>
      <c r="O8" s="6">
        <v>24410</v>
      </c>
      <c r="Q8" t="s">
        <v>16</v>
      </c>
      <c r="R8" t="s">
        <v>15</v>
      </c>
      <c r="S8" s="15">
        <v>335857</v>
      </c>
    </row>
    <row r="9" spans="1:22" x14ac:dyDescent="0.3">
      <c r="A9" s="3" t="s">
        <v>11</v>
      </c>
      <c r="B9" s="15">
        <v>581439</v>
      </c>
      <c r="D9" s="3" t="s">
        <v>36</v>
      </c>
      <c r="E9" s="6">
        <v>196338</v>
      </c>
      <c r="J9" s="3" t="s">
        <v>35</v>
      </c>
      <c r="K9" s="6">
        <v>54020</v>
      </c>
      <c r="L9" s="6">
        <v>57350</v>
      </c>
      <c r="M9" s="6">
        <v>27409</v>
      </c>
      <c r="N9" s="6">
        <v>20788</v>
      </c>
      <c r="O9" s="6">
        <v>22328</v>
      </c>
      <c r="R9" t="s">
        <v>19</v>
      </c>
      <c r="S9" s="15">
        <v>312184</v>
      </c>
    </row>
    <row r="10" spans="1:22" x14ac:dyDescent="0.3">
      <c r="A10" s="3" t="s">
        <v>28</v>
      </c>
      <c r="B10" s="15">
        <v>2333560</v>
      </c>
      <c r="D10" s="3" t="s">
        <v>46</v>
      </c>
      <c r="E10" s="6">
        <v>171026</v>
      </c>
      <c r="J10" s="3" t="s">
        <v>36</v>
      </c>
      <c r="K10" s="6">
        <v>46886</v>
      </c>
      <c r="L10" s="6">
        <v>41199</v>
      </c>
      <c r="M10" s="6">
        <v>48572</v>
      </c>
      <c r="N10" s="6">
        <v>27081</v>
      </c>
      <c r="O10" s="6">
        <v>32600</v>
      </c>
      <c r="Q10" t="s">
        <v>11</v>
      </c>
      <c r="R10" t="s">
        <v>10</v>
      </c>
      <c r="S10" s="15">
        <v>250835</v>
      </c>
    </row>
    <row r="11" spans="1:22" x14ac:dyDescent="0.3">
      <c r="D11" s="3" t="s">
        <v>47</v>
      </c>
      <c r="E11" s="6">
        <v>154965</v>
      </c>
      <c r="J11" s="3" t="s">
        <v>46</v>
      </c>
      <c r="K11" s="6">
        <v>65054</v>
      </c>
      <c r="L11" s="6">
        <v>21800</v>
      </c>
      <c r="M11" s="6">
        <v>60521</v>
      </c>
      <c r="N11" s="6">
        <v>17259</v>
      </c>
      <c r="O11" s="6">
        <v>6392</v>
      </c>
      <c r="R11" t="s">
        <v>27</v>
      </c>
      <c r="S11" s="15">
        <v>330604</v>
      </c>
    </row>
    <row r="12" spans="1:22" x14ac:dyDescent="0.3">
      <c r="D12" s="3" t="s">
        <v>48</v>
      </c>
      <c r="E12" s="6">
        <v>238215</v>
      </c>
      <c r="G12" s="2" t="s">
        <v>42</v>
      </c>
      <c r="H12" t="s">
        <v>37</v>
      </c>
      <c r="J12" s="3" t="s">
        <v>47</v>
      </c>
      <c r="K12" s="6">
        <v>29354</v>
      </c>
      <c r="L12" s="6">
        <v>57826</v>
      </c>
      <c r="M12" s="6">
        <v>10038</v>
      </c>
      <c r="N12" s="6">
        <v>37106</v>
      </c>
      <c r="O12" s="6">
        <v>20641</v>
      </c>
      <c r="V12" t="str">
        <f>"Expense by Category - " &amp;
IF(
    ISNUMBER(SEARCH("Multiple",V13)),
    "Multiple Periods",
    IF(V13="(ALL)","YTD",V13)
)</f>
        <v>Expense by Category - YTD</v>
      </c>
    </row>
    <row r="13" spans="1:22" x14ac:dyDescent="0.3">
      <c r="D13" s="3" t="s">
        <v>49</v>
      </c>
      <c r="E13" s="6">
        <v>223690</v>
      </c>
      <c r="J13" s="3" t="s">
        <v>48</v>
      </c>
      <c r="K13" s="6">
        <v>85298</v>
      </c>
      <c r="L13" s="6">
        <v>75185</v>
      </c>
      <c r="M13" s="6">
        <v>45843</v>
      </c>
      <c r="N13" s="6">
        <v>9827</v>
      </c>
      <c r="O13" s="6">
        <v>22062</v>
      </c>
      <c r="Q13" s="2" t="s">
        <v>8</v>
      </c>
      <c r="R13" t="s">
        <v>12</v>
      </c>
      <c r="U13" s="2" t="s">
        <v>42</v>
      </c>
      <c r="V13" t="s">
        <v>37</v>
      </c>
    </row>
    <row r="14" spans="1:22" x14ac:dyDescent="0.3">
      <c r="D14" s="3" t="s">
        <v>50</v>
      </c>
      <c r="E14" s="6">
        <v>243828</v>
      </c>
      <c r="G14" s="2" t="s">
        <v>38</v>
      </c>
      <c r="H14" t="s">
        <v>39</v>
      </c>
      <c r="J14" s="3" t="s">
        <v>49</v>
      </c>
      <c r="K14" s="6">
        <v>97254</v>
      </c>
      <c r="L14" s="6">
        <v>34972</v>
      </c>
      <c r="M14" s="6">
        <v>42739</v>
      </c>
      <c r="N14" s="6">
        <v>16166</v>
      </c>
      <c r="O14" s="6">
        <v>32559</v>
      </c>
    </row>
    <row r="15" spans="1:22" x14ac:dyDescent="0.3">
      <c r="A15" s="2" t="s">
        <v>30</v>
      </c>
      <c r="B15" t="s">
        <v>29</v>
      </c>
      <c r="D15" s="3" t="s">
        <v>51</v>
      </c>
      <c r="E15" s="6">
        <v>192332</v>
      </c>
      <c r="G15" s="3" t="s">
        <v>23</v>
      </c>
      <c r="H15" s="6">
        <v>3679592</v>
      </c>
      <c r="J15" s="3" t="s">
        <v>50</v>
      </c>
      <c r="K15" s="6">
        <v>63422</v>
      </c>
      <c r="L15" s="6">
        <v>69519</v>
      </c>
      <c r="M15" s="6">
        <v>69236</v>
      </c>
      <c r="N15" s="6">
        <v>20047</v>
      </c>
      <c r="O15" s="6">
        <v>21604</v>
      </c>
      <c r="Q15" s="2" t="s">
        <v>30</v>
      </c>
      <c r="R15" t="str">
        <f>_xlfn.IFS(NOT(ISBLANK(Q20)),"All Expenses",TRUE,_xlfn.TEXTJOIN(",",TRUE,Q16:Q20))</f>
        <v>All Expenses</v>
      </c>
      <c r="U15" s="2" t="s">
        <v>30</v>
      </c>
      <c r="V15" t="s">
        <v>39</v>
      </c>
    </row>
    <row r="16" spans="1:22" x14ac:dyDescent="0.3">
      <c r="A16" s="3" t="s">
        <v>9</v>
      </c>
      <c r="B16" s="12">
        <v>1128697</v>
      </c>
      <c r="D16" s="3" t="s">
        <v>28</v>
      </c>
      <c r="E16" s="6">
        <v>2333560</v>
      </c>
      <c r="G16" s="3" t="s">
        <v>21</v>
      </c>
      <c r="H16" s="6">
        <v>-276397</v>
      </c>
      <c r="J16" s="3" t="s">
        <v>51</v>
      </c>
      <c r="K16" s="6">
        <v>45065</v>
      </c>
      <c r="L16" s="6">
        <v>57921</v>
      </c>
      <c r="M16" s="6">
        <v>39357</v>
      </c>
      <c r="N16" s="6">
        <v>36743</v>
      </c>
      <c r="O16" s="6">
        <v>13246</v>
      </c>
      <c r="Q16" s="3" t="s">
        <v>21</v>
      </c>
      <c r="U16" s="3" t="s">
        <v>21</v>
      </c>
      <c r="V16" s="15">
        <v>-276397</v>
      </c>
    </row>
    <row r="17" spans="1:22" x14ac:dyDescent="0.3">
      <c r="A17" s="3" t="s">
        <v>4</v>
      </c>
      <c r="B17" s="12">
        <v>1204863</v>
      </c>
      <c r="G17" s="3" t="s">
        <v>18</v>
      </c>
      <c r="H17" s="6">
        <v>-525715</v>
      </c>
      <c r="J17" t="s">
        <v>38</v>
      </c>
      <c r="K17" t="s">
        <v>39</v>
      </c>
      <c r="Q17" s="3" t="s">
        <v>18</v>
      </c>
      <c r="U17" s="3" t="s">
        <v>18</v>
      </c>
      <c r="V17" s="15">
        <v>-525715</v>
      </c>
    </row>
    <row r="18" spans="1:22" x14ac:dyDescent="0.3">
      <c r="A18" s="3" t="s">
        <v>28</v>
      </c>
      <c r="B18" s="12">
        <v>2333560</v>
      </c>
      <c r="G18" s="3" t="s">
        <v>14</v>
      </c>
      <c r="H18" s="6">
        <v>-301968</v>
      </c>
      <c r="J18" t="s">
        <v>23</v>
      </c>
      <c r="K18">
        <v>2011620</v>
      </c>
      <c r="Q18" s="3" t="s">
        <v>14</v>
      </c>
      <c r="U18" s="3" t="s">
        <v>14</v>
      </c>
      <c r="V18" s="15">
        <v>-301968</v>
      </c>
    </row>
    <row r="19" spans="1:22" x14ac:dyDescent="0.3">
      <c r="D19" s="2" t="s">
        <v>43</v>
      </c>
      <c r="E19" s="4" t="s">
        <v>29</v>
      </c>
      <c r="G19" s="3" t="s">
        <v>16</v>
      </c>
      <c r="H19" s="6">
        <v>-648041</v>
      </c>
      <c r="J19" t="s">
        <v>21</v>
      </c>
      <c r="K19">
        <v>-143404</v>
      </c>
      <c r="Q19" s="3" t="s">
        <v>16</v>
      </c>
      <c r="U19" s="3" t="s">
        <v>23</v>
      </c>
      <c r="V19" s="15">
        <v>3679592</v>
      </c>
    </row>
    <row r="20" spans="1:22" x14ac:dyDescent="0.3">
      <c r="D20" s="3" t="s">
        <v>15</v>
      </c>
      <c r="E20" s="12">
        <v>335857</v>
      </c>
      <c r="G20" s="3" t="s">
        <v>11</v>
      </c>
      <c r="H20" s="6">
        <v>-581439</v>
      </c>
      <c r="J20" t="s">
        <v>18</v>
      </c>
      <c r="K20">
        <v>-220672</v>
      </c>
      <c r="Q20" s="3" t="s">
        <v>11</v>
      </c>
      <c r="U20" s="3" t="s">
        <v>16</v>
      </c>
      <c r="V20" s="15">
        <v>-648041</v>
      </c>
    </row>
    <row r="21" spans="1:22" x14ac:dyDescent="0.3">
      <c r="D21" s="3" t="s">
        <v>13</v>
      </c>
      <c r="E21" s="12">
        <v>301968</v>
      </c>
      <c r="G21" s="3" t="s">
        <v>40</v>
      </c>
      <c r="H21" s="6">
        <v>1346032</v>
      </c>
      <c r="J21" t="s">
        <v>14</v>
      </c>
      <c r="K21">
        <v>-150041</v>
      </c>
      <c r="U21" s="3" t="s">
        <v>11</v>
      </c>
      <c r="V21" s="15">
        <v>-581439</v>
      </c>
    </row>
    <row r="22" spans="1:22" x14ac:dyDescent="0.3">
      <c r="D22" s="3" t="s">
        <v>17</v>
      </c>
      <c r="E22" s="12">
        <v>291834</v>
      </c>
      <c r="J22" t="s">
        <v>16</v>
      </c>
      <c r="K22">
        <v>-243766</v>
      </c>
      <c r="U22" s="3" t="s">
        <v>28</v>
      </c>
      <c r="V22" s="15">
        <v>1346032</v>
      </c>
    </row>
    <row r="23" spans="1:22" x14ac:dyDescent="0.3">
      <c r="D23" s="3" t="s">
        <v>19</v>
      </c>
      <c r="E23" s="12">
        <v>312184</v>
      </c>
      <c r="J23" t="s">
        <v>11</v>
      </c>
      <c r="K23">
        <v>-220171</v>
      </c>
    </row>
    <row r="24" spans="1:22" x14ac:dyDescent="0.3">
      <c r="D24" s="3" t="s">
        <v>27</v>
      </c>
      <c r="E24" s="12">
        <v>330604</v>
      </c>
      <c r="J24" t="s">
        <v>40</v>
      </c>
      <c r="K24">
        <v>1033566</v>
      </c>
    </row>
    <row r="42" spans="7:8" x14ac:dyDescent="0.3">
      <c r="G42" s="2" t="s">
        <v>38</v>
      </c>
      <c r="H42" t="s">
        <v>39</v>
      </c>
    </row>
    <row r="43" spans="7:8" x14ac:dyDescent="0.3">
      <c r="G43" s="3" t="s">
        <v>31</v>
      </c>
      <c r="H43" s="6">
        <v>184029</v>
      </c>
    </row>
    <row r="44" spans="7:8" x14ac:dyDescent="0.3">
      <c r="G44" s="3" t="s">
        <v>32</v>
      </c>
      <c r="H44" s="6">
        <v>240945</v>
      </c>
    </row>
    <row r="45" spans="7:8" x14ac:dyDescent="0.3">
      <c r="G45" s="3" t="s">
        <v>33</v>
      </c>
      <c r="H45" s="6">
        <v>261370</v>
      </c>
    </row>
    <row r="46" spans="7:8" x14ac:dyDescent="0.3">
      <c r="G46" s="3" t="s">
        <v>34</v>
      </c>
      <c r="H46" s="6">
        <v>171392</v>
      </c>
    </row>
    <row r="47" spans="7:8" x14ac:dyDescent="0.3">
      <c r="G47" s="3" t="s">
        <v>35</v>
      </c>
      <c r="H47" s="6">
        <v>247697</v>
      </c>
    </row>
    <row r="48" spans="7:8" x14ac:dyDescent="0.3">
      <c r="G48" s="3" t="s">
        <v>36</v>
      </c>
      <c r="H48" s="6">
        <v>33723</v>
      </c>
    </row>
    <row r="49" spans="7:8" x14ac:dyDescent="0.3">
      <c r="G49" s="3" t="s">
        <v>46</v>
      </c>
      <c r="H49" s="6">
        <v>65117</v>
      </c>
    </row>
    <row r="50" spans="7:8" x14ac:dyDescent="0.3">
      <c r="G50" s="3" t="s">
        <v>47</v>
      </c>
      <c r="H50" s="6">
        <v>190285</v>
      </c>
    </row>
    <row r="51" spans="7:8" x14ac:dyDescent="0.3">
      <c r="G51" s="3" t="s">
        <v>48</v>
      </c>
      <c r="H51" s="6">
        <v>-99481</v>
      </c>
    </row>
    <row r="52" spans="7:8" x14ac:dyDescent="0.3">
      <c r="G52" s="3" t="s">
        <v>49</v>
      </c>
      <c r="H52" s="6">
        <v>-37438</v>
      </c>
    </row>
    <row r="53" spans="7:8" x14ac:dyDescent="0.3">
      <c r="G53" s="3" t="s">
        <v>50</v>
      </c>
      <c r="H53" s="6">
        <v>-123952</v>
      </c>
    </row>
    <row r="54" spans="7:8" x14ac:dyDescent="0.3">
      <c r="G54" s="3" t="s">
        <v>51</v>
      </c>
      <c r="H54" s="6">
        <v>212345</v>
      </c>
    </row>
    <row r="55" spans="7:8" x14ac:dyDescent="0.3">
      <c r="G55" s="3" t="s">
        <v>40</v>
      </c>
      <c r="H55" s="6">
        <v>1346032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B36CC-AC67-4EAA-999F-326068A84892}">
  <dimension ref="A1:I350"/>
  <sheetViews>
    <sheetView workbookViewId="0">
      <selection activeCell="E352" sqref="E352"/>
    </sheetView>
  </sheetViews>
  <sheetFormatPr defaultRowHeight="14.4" x14ac:dyDescent="0.3"/>
  <cols>
    <col min="1" max="1" width="14.77734375" bestFit="1" customWidth="1"/>
    <col min="2" max="2" width="10.33203125" bestFit="1" customWidth="1"/>
    <col min="3" max="3" width="12.6640625" bestFit="1" customWidth="1"/>
    <col min="4" max="4" width="7.6640625" bestFit="1" customWidth="1"/>
    <col min="5" max="5" width="8.21875" bestFit="1" customWidth="1"/>
    <col min="6" max="6" width="10.109375" bestFit="1" customWidth="1"/>
    <col min="7" max="7" width="14.44140625" bestFit="1" customWidth="1"/>
    <col min="8" max="8" width="10.77734375" bestFit="1" customWidth="1"/>
    <col min="9" max="9" width="15.44140625" bestFit="1" customWidth="1"/>
  </cols>
  <sheetData>
    <row r="1" spans="1:9" x14ac:dyDescent="0.3">
      <c r="A1" t="s">
        <v>0</v>
      </c>
      <c r="B1" t="s">
        <v>1</v>
      </c>
      <c r="C1" t="s">
        <v>2</v>
      </c>
      <c r="D1" t="s">
        <v>3</v>
      </c>
      <c r="E1" t="s">
        <v>4</v>
      </c>
      <c r="F1" t="s">
        <v>5</v>
      </c>
      <c r="G1" t="s">
        <v>6</v>
      </c>
      <c r="H1" t="s">
        <v>7</v>
      </c>
      <c r="I1" t="s">
        <v>8</v>
      </c>
    </row>
    <row r="2" spans="1:9" x14ac:dyDescent="0.3">
      <c r="A2" t="s">
        <v>9</v>
      </c>
      <c r="B2" s="1">
        <v>45658</v>
      </c>
      <c r="C2" t="s">
        <v>10</v>
      </c>
      <c r="D2">
        <v>2796</v>
      </c>
      <c r="E2">
        <v>0</v>
      </c>
      <c r="F2">
        <v>-2796</v>
      </c>
      <c r="G2" t="s">
        <v>10</v>
      </c>
      <c r="H2" t="s">
        <v>11</v>
      </c>
      <c r="I2" t="s">
        <v>12</v>
      </c>
    </row>
    <row r="3" spans="1:9" x14ac:dyDescent="0.3">
      <c r="A3" t="s">
        <v>9</v>
      </c>
      <c r="B3" s="1">
        <v>45658</v>
      </c>
      <c r="C3" t="s">
        <v>13</v>
      </c>
      <c r="D3">
        <v>354</v>
      </c>
      <c r="E3">
        <v>0</v>
      </c>
      <c r="F3">
        <v>-354</v>
      </c>
      <c r="G3" t="s">
        <v>13</v>
      </c>
      <c r="H3" t="s">
        <v>14</v>
      </c>
      <c r="I3" t="s">
        <v>12</v>
      </c>
    </row>
    <row r="4" spans="1:9" x14ac:dyDescent="0.3">
      <c r="A4" t="s">
        <v>4</v>
      </c>
      <c r="B4" s="1">
        <v>45658</v>
      </c>
      <c r="C4" t="s">
        <v>15</v>
      </c>
      <c r="D4">
        <v>2169</v>
      </c>
      <c r="E4">
        <v>0</v>
      </c>
      <c r="F4">
        <v>-2169</v>
      </c>
      <c r="G4" t="s">
        <v>15</v>
      </c>
      <c r="H4" t="s">
        <v>16</v>
      </c>
      <c r="I4" t="s">
        <v>12</v>
      </c>
    </row>
    <row r="5" spans="1:9" x14ac:dyDescent="0.3">
      <c r="A5" t="s">
        <v>9</v>
      </c>
      <c r="B5" s="1">
        <v>45659</v>
      </c>
      <c r="C5" t="s">
        <v>17</v>
      </c>
      <c r="D5">
        <v>5042</v>
      </c>
      <c r="E5">
        <v>0</v>
      </c>
      <c r="F5">
        <v>-5042</v>
      </c>
      <c r="G5" t="s">
        <v>17</v>
      </c>
      <c r="H5" t="s">
        <v>18</v>
      </c>
      <c r="I5" t="s">
        <v>12</v>
      </c>
    </row>
    <row r="6" spans="1:9" x14ac:dyDescent="0.3">
      <c r="A6" t="s">
        <v>9</v>
      </c>
      <c r="B6" s="1">
        <v>45660</v>
      </c>
      <c r="C6" t="s">
        <v>19</v>
      </c>
      <c r="D6">
        <v>1482</v>
      </c>
      <c r="E6">
        <v>0</v>
      </c>
      <c r="F6">
        <v>-1482</v>
      </c>
      <c r="G6" t="s">
        <v>19</v>
      </c>
      <c r="H6" t="s">
        <v>16</v>
      </c>
      <c r="I6" t="s">
        <v>12</v>
      </c>
    </row>
    <row r="7" spans="1:9" x14ac:dyDescent="0.3">
      <c r="A7" t="s">
        <v>9</v>
      </c>
      <c r="B7" s="1">
        <v>45660</v>
      </c>
      <c r="C7" t="s">
        <v>20</v>
      </c>
      <c r="D7">
        <v>5025</v>
      </c>
      <c r="E7">
        <v>0</v>
      </c>
      <c r="F7">
        <v>-5025</v>
      </c>
      <c r="G7" t="s">
        <v>20</v>
      </c>
      <c r="H7" t="s">
        <v>21</v>
      </c>
      <c r="I7" t="s">
        <v>12</v>
      </c>
    </row>
    <row r="8" spans="1:9" x14ac:dyDescent="0.3">
      <c r="A8" t="s">
        <v>9</v>
      </c>
      <c r="B8" s="1">
        <v>45661</v>
      </c>
      <c r="C8" t="s">
        <v>20</v>
      </c>
      <c r="D8">
        <v>1645</v>
      </c>
      <c r="E8">
        <v>0</v>
      </c>
      <c r="F8">
        <v>-1645</v>
      </c>
      <c r="G8" t="s">
        <v>20</v>
      </c>
      <c r="H8" t="s">
        <v>21</v>
      </c>
      <c r="I8" t="s">
        <v>12</v>
      </c>
    </row>
    <row r="9" spans="1:9" x14ac:dyDescent="0.3">
      <c r="A9" t="s">
        <v>9</v>
      </c>
      <c r="B9" s="1">
        <v>45661</v>
      </c>
      <c r="C9" t="s">
        <v>22</v>
      </c>
      <c r="D9">
        <v>0</v>
      </c>
      <c r="E9">
        <v>18612</v>
      </c>
      <c r="F9">
        <v>18612</v>
      </c>
      <c r="G9" t="s">
        <v>22</v>
      </c>
      <c r="H9" t="s">
        <v>23</v>
      </c>
      <c r="I9" t="s">
        <v>23</v>
      </c>
    </row>
    <row r="10" spans="1:9" x14ac:dyDescent="0.3">
      <c r="A10" t="s">
        <v>4</v>
      </c>
      <c r="B10" s="1">
        <v>45662</v>
      </c>
      <c r="C10" t="s">
        <v>13</v>
      </c>
      <c r="D10">
        <v>6242</v>
      </c>
      <c r="E10">
        <v>0</v>
      </c>
      <c r="F10">
        <v>-6242</v>
      </c>
      <c r="G10" t="s">
        <v>13</v>
      </c>
      <c r="H10" t="s">
        <v>14</v>
      </c>
      <c r="I10" t="s">
        <v>12</v>
      </c>
    </row>
    <row r="11" spans="1:9" x14ac:dyDescent="0.3">
      <c r="A11" t="s">
        <v>4</v>
      </c>
      <c r="B11" s="1">
        <v>45662</v>
      </c>
      <c r="C11" t="s">
        <v>13</v>
      </c>
      <c r="D11">
        <v>5590</v>
      </c>
      <c r="E11">
        <v>0</v>
      </c>
      <c r="F11">
        <v>-5590</v>
      </c>
      <c r="G11" t="s">
        <v>13</v>
      </c>
      <c r="H11" t="s">
        <v>14</v>
      </c>
      <c r="I11" t="s">
        <v>12</v>
      </c>
    </row>
    <row r="12" spans="1:9" x14ac:dyDescent="0.3">
      <c r="A12" t="s">
        <v>9</v>
      </c>
      <c r="B12" s="1">
        <v>45662</v>
      </c>
      <c r="C12" t="s">
        <v>19</v>
      </c>
      <c r="D12">
        <v>5044</v>
      </c>
      <c r="E12">
        <v>0</v>
      </c>
      <c r="F12">
        <v>-5044</v>
      </c>
      <c r="G12" t="s">
        <v>19</v>
      </c>
      <c r="H12" t="s">
        <v>16</v>
      </c>
      <c r="I12" t="s">
        <v>12</v>
      </c>
    </row>
    <row r="13" spans="1:9" x14ac:dyDescent="0.3">
      <c r="A13" t="s">
        <v>9</v>
      </c>
      <c r="B13" s="1">
        <v>45663</v>
      </c>
      <c r="C13" t="s">
        <v>10</v>
      </c>
      <c r="D13">
        <v>3622</v>
      </c>
      <c r="E13">
        <v>0</v>
      </c>
      <c r="F13">
        <v>-3622</v>
      </c>
      <c r="G13" t="s">
        <v>10</v>
      </c>
      <c r="H13" t="s">
        <v>11</v>
      </c>
      <c r="I13" t="s">
        <v>12</v>
      </c>
    </row>
    <row r="14" spans="1:9" x14ac:dyDescent="0.3">
      <c r="A14" t="s">
        <v>4</v>
      </c>
      <c r="B14" s="1">
        <v>45664</v>
      </c>
      <c r="C14" t="s">
        <v>10</v>
      </c>
      <c r="D14">
        <v>724</v>
      </c>
      <c r="E14">
        <v>0</v>
      </c>
      <c r="F14">
        <v>-724</v>
      </c>
      <c r="G14" t="s">
        <v>10</v>
      </c>
      <c r="H14" t="s">
        <v>11</v>
      </c>
      <c r="I14" t="s">
        <v>12</v>
      </c>
    </row>
    <row r="15" spans="1:9" x14ac:dyDescent="0.3">
      <c r="A15" t="s">
        <v>9</v>
      </c>
      <c r="B15" s="1">
        <v>45665</v>
      </c>
      <c r="C15" t="s">
        <v>17</v>
      </c>
      <c r="D15">
        <v>3000</v>
      </c>
      <c r="E15">
        <v>0</v>
      </c>
      <c r="F15">
        <v>-3000</v>
      </c>
      <c r="G15" t="s">
        <v>17</v>
      </c>
      <c r="H15" t="s">
        <v>18</v>
      </c>
      <c r="I15" t="s">
        <v>12</v>
      </c>
    </row>
    <row r="16" spans="1:9" x14ac:dyDescent="0.3">
      <c r="A16" t="s">
        <v>4</v>
      </c>
      <c r="B16" s="1">
        <v>45665</v>
      </c>
      <c r="C16" t="s">
        <v>15</v>
      </c>
      <c r="D16">
        <v>6371</v>
      </c>
      <c r="E16">
        <v>0</v>
      </c>
      <c r="F16">
        <v>-6371</v>
      </c>
      <c r="G16" t="s">
        <v>15</v>
      </c>
      <c r="H16" t="s">
        <v>16</v>
      </c>
      <c r="I16" t="s">
        <v>12</v>
      </c>
    </row>
    <row r="17" spans="1:9" x14ac:dyDescent="0.3">
      <c r="A17" t="s">
        <v>4</v>
      </c>
      <c r="B17" s="1">
        <v>45666</v>
      </c>
      <c r="C17" t="s">
        <v>13</v>
      </c>
      <c r="D17">
        <v>5844</v>
      </c>
      <c r="E17">
        <v>0</v>
      </c>
      <c r="F17">
        <v>-5844</v>
      </c>
      <c r="G17" t="s">
        <v>13</v>
      </c>
      <c r="H17" t="s">
        <v>14</v>
      </c>
      <c r="I17" t="s">
        <v>12</v>
      </c>
    </row>
    <row r="18" spans="1:9" x14ac:dyDescent="0.3">
      <c r="A18" t="s">
        <v>4</v>
      </c>
      <c r="B18" s="1">
        <v>45666</v>
      </c>
      <c r="C18" t="s">
        <v>19</v>
      </c>
      <c r="D18">
        <v>3464</v>
      </c>
      <c r="E18">
        <v>0</v>
      </c>
      <c r="F18">
        <v>-3464</v>
      </c>
      <c r="G18" t="s">
        <v>19</v>
      </c>
      <c r="H18" t="s">
        <v>16</v>
      </c>
      <c r="I18" t="s">
        <v>12</v>
      </c>
    </row>
    <row r="19" spans="1:9" x14ac:dyDescent="0.3">
      <c r="A19" t="s">
        <v>4</v>
      </c>
      <c r="B19" s="1">
        <v>45667</v>
      </c>
      <c r="C19" t="s">
        <v>20</v>
      </c>
      <c r="D19">
        <v>6101</v>
      </c>
      <c r="E19">
        <v>0</v>
      </c>
      <c r="F19">
        <v>-6101</v>
      </c>
      <c r="G19" t="s">
        <v>20</v>
      </c>
      <c r="H19" t="s">
        <v>21</v>
      </c>
      <c r="I19" t="s">
        <v>12</v>
      </c>
    </row>
    <row r="20" spans="1:9" x14ac:dyDescent="0.3">
      <c r="A20" t="s">
        <v>4</v>
      </c>
      <c r="B20" s="1">
        <v>45667</v>
      </c>
      <c r="C20" t="s">
        <v>13</v>
      </c>
      <c r="D20">
        <v>4960</v>
      </c>
      <c r="E20">
        <v>0</v>
      </c>
      <c r="F20">
        <v>-4960</v>
      </c>
      <c r="G20" t="s">
        <v>13</v>
      </c>
      <c r="H20" t="s">
        <v>14</v>
      </c>
      <c r="I20" t="s">
        <v>12</v>
      </c>
    </row>
    <row r="21" spans="1:9" x14ac:dyDescent="0.3">
      <c r="A21" t="s">
        <v>4</v>
      </c>
      <c r="B21" s="1">
        <v>45668</v>
      </c>
      <c r="C21" t="s">
        <v>15</v>
      </c>
      <c r="D21">
        <v>6650</v>
      </c>
      <c r="E21">
        <v>0</v>
      </c>
      <c r="F21">
        <v>-6650</v>
      </c>
      <c r="G21" t="s">
        <v>15</v>
      </c>
      <c r="H21" t="s">
        <v>16</v>
      </c>
      <c r="I21" t="s">
        <v>12</v>
      </c>
    </row>
    <row r="22" spans="1:9" x14ac:dyDescent="0.3">
      <c r="A22" t="s">
        <v>4</v>
      </c>
      <c r="B22" s="1">
        <v>45668</v>
      </c>
      <c r="C22" t="s">
        <v>24</v>
      </c>
      <c r="D22">
        <v>0</v>
      </c>
      <c r="E22">
        <v>41977</v>
      </c>
      <c r="F22">
        <v>41977</v>
      </c>
      <c r="G22" t="s">
        <v>24</v>
      </c>
      <c r="H22" t="s">
        <v>23</v>
      </c>
      <c r="I22" t="s">
        <v>23</v>
      </c>
    </row>
    <row r="23" spans="1:9" x14ac:dyDescent="0.3">
      <c r="A23" t="s">
        <v>4</v>
      </c>
      <c r="B23" s="1">
        <v>45668</v>
      </c>
      <c r="C23" t="s">
        <v>25</v>
      </c>
      <c r="D23">
        <v>0</v>
      </c>
      <c r="E23">
        <v>43782</v>
      </c>
      <c r="F23">
        <v>43782</v>
      </c>
      <c r="G23" t="s">
        <v>25</v>
      </c>
      <c r="H23" t="s">
        <v>23</v>
      </c>
      <c r="I23" t="s">
        <v>23</v>
      </c>
    </row>
    <row r="24" spans="1:9" x14ac:dyDescent="0.3">
      <c r="A24" t="s">
        <v>4</v>
      </c>
      <c r="B24" s="1">
        <v>45669</v>
      </c>
      <c r="C24" t="s">
        <v>26</v>
      </c>
      <c r="D24">
        <v>6215</v>
      </c>
      <c r="E24">
        <v>0</v>
      </c>
      <c r="F24">
        <v>-6215</v>
      </c>
      <c r="G24" t="s">
        <v>26</v>
      </c>
      <c r="H24" t="s">
        <v>18</v>
      </c>
      <c r="I24" t="s">
        <v>12</v>
      </c>
    </row>
    <row r="25" spans="1:9" x14ac:dyDescent="0.3">
      <c r="A25" t="s">
        <v>4</v>
      </c>
      <c r="B25" s="1">
        <v>45670</v>
      </c>
      <c r="C25" t="s">
        <v>19</v>
      </c>
      <c r="D25">
        <v>5112</v>
      </c>
      <c r="E25">
        <v>0</v>
      </c>
      <c r="F25">
        <v>-5112</v>
      </c>
      <c r="G25" t="s">
        <v>19</v>
      </c>
      <c r="H25" t="s">
        <v>16</v>
      </c>
      <c r="I25" t="s">
        <v>12</v>
      </c>
    </row>
    <row r="26" spans="1:9" x14ac:dyDescent="0.3">
      <c r="A26" t="s">
        <v>9</v>
      </c>
      <c r="B26" s="1">
        <v>45671</v>
      </c>
      <c r="C26" t="s">
        <v>19</v>
      </c>
      <c r="D26">
        <v>931</v>
      </c>
      <c r="E26">
        <v>0</v>
      </c>
      <c r="F26">
        <v>-931</v>
      </c>
      <c r="G26" t="s">
        <v>19</v>
      </c>
      <c r="H26" t="s">
        <v>16</v>
      </c>
      <c r="I26" t="s">
        <v>12</v>
      </c>
    </row>
    <row r="27" spans="1:9" x14ac:dyDescent="0.3">
      <c r="A27" t="s">
        <v>9</v>
      </c>
      <c r="B27" s="1">
        <v>45671</v>
      </c>
      <c r="C27" t="s">
        <v>10</v>
      </c>
      <c r="D27">
        <v>4819</v>
      </c>
      <c r="E27">
        <v>0</v>
      </c>
      <c r="F27">
        <v>-4819</v>
      </c>
      <c r="G27" t="s">
        <v>10</v>
      </c>
      <c r="H27" t="s">
        <v>11</v>
      </c>
      <c r="I27" t="s">
        <v>12</v>
      </c>
    </row>
    <row r="28" spans="1:9" x14ac:dyDescent="0.3">
      <c r="A28" t="s">
        <v>4</v>
      </c>
      <c r="B28" s="1">
        <v>45671</v>
      </c>
      <c r="C28" t="s">
        <v>10</v>
      </c>
      <c r="D28">
        <v>4815</v>
      </c>
      <c r="E28">
        <v>0</v>
      </c>
      <c r="F28">
        <v>-4815</v>
      </c>
      <c r="G28" t="s">
        <v>10</v>
      </c>
      <c r="H28" t="s">
        <v>11</v>
      </c>
      <c r="I28" t="s">
        <v>12</v>
      </c>
    </row>
    <row r="29" spans="1:9" x14ac:dyDescent="0.3">
      <c r="A29" t="s">
        <v>4</v>
      </c>
      <c r="B29" s="1">
        <v>45672</v>
      </c>
      <c r="C29" t="s">
        <v>17</v>
      </c>
      <c r="D29">
        <v>3365</v>
      </c>
      <c r="E29">
        <v>0</v>
      </c>
      <c r="F29">
        <v>-3365</v>
      </c>
      <c r="G29" t="s">
        <v>17</v>
      </c>
      <c r="H29" t="s">
        <v>18</v>
      </c>
      <c r="I29" t="s">
        <v>12</v>
      </c>
    </row>
    <row r="30" spans="1:9" x14ac:dyDescent="0.3">
      <c r="A30" t="s">
        <v>9</v>
      </c>
      <c r="B30" s="1">
        <v>45672</v>
      </c>
      <c r="C30" t="s">
        <v>20</v>
      </c>
      <c r="D30">
        <v>540</v>
      </c>
      <c r="E30">
        <v>0</v>
      </c>
      <c r="F30">
        <v>-540</v>
      </c>
      <c r="G30" t="s">
        <v>20</v>
      </c>
      <c r="H30" t="s">
        <v>21</v>
      </c>
      <c r="I30" t="s">
        <v>12</v>
      </c>
    </row>
    <row r="31" spans="1:9" x14ac:dyDescent="0.3">
      <c r="A31" t="s">
        <v>9</v>
      </c>
      <c r="B31" s="1">
        <v>45673</v>
      </c>
      <c r="C31" t="s">
        <v>17</v>
      </c>
      <c r="D31">
        <v>4779</v>
      </c>
      <c r="E31">
        <v>0</v>
      </c>
      <c r="F31">
        <v>-4779</v>
      </c>
      <c r="G31" t="s">
        <v>17</v>
      </c>
      <c r="H31" t="s">
        <v>18</v>
      </c>
      <c r="I31" t="s">
        <v>12</v>
      </c>
    </row>
    <row r="32" spans="1:9" x14ac:dyDescent="0.3">
      <c r="A32" t="s">
        <v>4</v>
      </c>
      <c r="B32" s="1">
        <v>45673</v>
      </c>
      <c r="C32" t="s">
        <v>20</v>
      </c>
      <c r="D32">
        <v>5074</v>
      </c>
      <c r="E32">
        <v>0</v>
      </c>
      <c r="F32">
        <v>-5074</v>
      </c>
      <c r="G32" t="s">
        <v>20</v>
      </c>
      <c r="H32" t="s">
        <v>21</v>
      </c>
      <c r="I32" t="s">
        <v>12</v>
      </c>
    </row>
    <row r="33" spans="1:9" x14ac:dyDescent="0.3">
      <c r="A33" t="s">
        <v>9</v>
      </c>
      <c r="B33" s="1">
        <v>45674</v>
      </c>
      <c r="C33" t="s">
        <v>26</v>
      </c>
      <c r="D33">
        <v>5114</v>
      </c>
      <c r="E33">
        <v>0</v>
      </c>
      <c r="F33">
        <v>-5114</v>
      </c>
      <c r="G33" t="s">
        <v>26</v>
      </c>
      <c r="H33" t="s">
        <v>18</v>
      </c>
      <c r="I33" t="s">
        <v>12</v>
      </c>
    </row>
    <row r="34" spans="1:9" x14ac:dyDescent="0.3">
      <c r="A34" t="s">
        <v>4</v>
      </c>
      <c r="B34" s="1">
        <v>45675</v>
      </c>
      <c r="C34" t="s">
        <v>27</v>
      </c>
      <c r="D34">
        <v>405</v>
      </c>
      <c r="E34">
        <v>0</v>
      </c>
      <c r="F34">
        <v>-405</v>
      </c>
      <c r="G34" t="s">
        <v>27</v>
      </c>
      <c r="H34" t="s">
        <v>11</v>
      </c>
      <c r="I34" t="s">
        <v>12</v>
      </c>
    </row>
    <row r="35" spans="1:9" x14ac:dyDescent="0.3">
      <c r="A35" t="s">
        <v>4</v>
      </c>
      <c r="B35" s="1">
        <v>45676</v>
      </c>
      <c r="C35" t="s">
        <v>26</v>
      </c>
      <c r="D35">
        <v>3405</v>
      </c>
      <c r="E35">
        <v>0</v>
      </c>
      <c r="F35">
        <v>-3405</v>
      </c>
      <c r="G35" t="s">
        <v>26</v>
      </c>
      <c r="H35" t="s">
        <v>18</v>
      </c>
      <c r="I35" t="s">
        <v>12</v>
      </c>
    </row>
    <row r="36" spans="1:9" x14ac:dyDescent="0.3">
      <c r="A36" t="s">
        <v>4</v>
      </c>
      <c r="B36" s="1">
        <v>45676</v>
      </c>
      <c r="C36" t="s">
        <v>17</v>
      </c>
      <c r="D36">
        <v>1342</v>
      </c>
      <c r="E36">
        <v>0</v>
      </c>
      <c r="F36">
        <v>-1342</v>
      </c>
      <c r="G36" t="s">
        <v>17</v>
      </c>
      <c r="H36" t="s">
        <v>18</v>
      </c>
      <c r="I36" t="s">
        <v>12</v>
      </c>
    </row>
    <row r="37" spans="1:9" x14ac:dyDescent="0.3">
      <c r="A37" t="s">
        <v>4</v>
      </c>
      <c r="B37" s="1">
        <v>45676</v>
      </c>
      <c r="C37" t="s">
        <v>13</v>
      </c>
      <c r="D37">
        <v>5145</v>
      </c>
      <c r="E37">
        <v>0</v>
      </c>
      <c r="F37">
        <v>-5145</v>
      </c>
      <c r="G37" t="s">
        <v>13</v>
      </c>
      <c r="H37" t="s">
        <v>14</v>
      </c>
      <c r="I37" t="s">
        <v>12</v>
      </c>
    </row>
    <row r="38" spans="1:9" x14ac:dyDescent="0.3">
      <c r="A38" t="s">
        <v>4</v>
      </c>
      <c r="B38" s="1">
        <v>45677</v>
      </c>
      <c r="C38" t="s">
        <v>27</v>
      </c>
      <c r="D38">
        <v>3048</v>
      </c>
      <c r="E38">
        <v>0</v>
      </c>
      <c r="F38">
        <v>-3048</v>
      </c>
      <c r="G38" t="s">
        <v>27</v>
      </c>
      <c r="H38" t="s">
        <v>11</v>
      </c>
      <c r="I38" t="s">
        <v>12</v>
      </c>
    </row>
    <row r="39" spans="1:9" x14ac:dyDescent="0.3">
      <c r="A39" t="s">
        <v>4</v>
      </c>
      <c r="B39" s="1">
        <v>45677</v>
      </c>
      <c r="C39" t="s">
        <v>13</v>
      </c>
      <c r="D39">
        <v>3330</v>
      </c>
      <c r="E39">
        <v>0</v>
      </c>
      <c r="F39">
        <v>-3330</v>
      </c>
      <c r="G39" t="s">
        <v>13</v>
      </c>
      <c r="H39" t="s">
        <v>14</v>
      </c>
      <c r="I39" t="s">
        <v>12</v>
      </c>
    </row>
    <row r="40" spans="1:9" x14ac:dyDescent="0.3">
      <c r="A40" t="s">
        <v>4</v>
      </c>
      <c r="B40" s="1">
        <v>45678</v>
      </c>
      <c r="C40" t="s">
        <v>27</v>
      </c>
      <c r="D40">
        <v>488</v>
      </c>
      <c r="E40">
        <v>0</v>
      </c>
      <c r="F40">
        <v>-488</v>
      </c>
      <c r="G40" t="s">
        <v>27</v>
      </c>
      <c r="H40" t="s">
        <v>11</v>
      </c>
      <c r="I40" t="s">
        <v>12</v>
      </c>
    </row>
    <row r="41" spans="1:9" x14ac:dyDescent="0.3">
      <c r="A41" t="s">
        <v>9</v>
      </c>
      <c r="B41" s="1">
        <v>45679</v>
      </c>
      <c r="C41" t="s">
        <v>10</v>
      </c>
      <c r="D41">
        <v>4819</v>
      </c>
      <c r="E41">
        <v>0</v>
      </c>
      <c r="F41">
        <v>-4819</v>
      </c>
      <c r="G41" t="s">
        <v>10</v>
      </c>
      <c r="H41" t="s">
        <v>11</v>
      </c>
      <c r="I41" t="s">
        <v>12</v>
      </c>
    </row>
    <row r="42" spans="1:9" x14ac:dyDescent="0.3">
      <c r="A42" t="s">
        <v>4</v>
      </c>
      <c r="B42" s="1">
        <v>45679</v>
      </c>
      <c r="C42" t="s">
        <v>15</v>
      </c>
      <c r="D42">
        <v>558</v>
      </c>
      <c r="E42">
        <v>0</v>
      </c>
      <c r="F42">
        <v>-558</v>
      </c>
      <c r="G42" t="s">
        <v>15</v>
      </c>
      <c r="H42" t="s">
        <v>16</v>
      </c>
      <c r="I42" t="s">
        <v>12</v>
      </c>
    </row>
    <row r="43" spans="1:9" x14ac:dyDescent="0.3">
      <c r="A43" t="s">
        <v>9</v>
      </c>
      <c r="B43" s="1">
        <v>45680</v>
      </c>
      <c r="C43" t="s">
        <v>19</v>
      </c>
      <c r="D43">
        <v>1979</v>
      </c>
      <c r="E43">
        <v>0</v>
      </c>
      <c r="F43">
        <v>-1979</v>
      </c>
      <c r="G43" t="s">
        <v>19</v>
      </c>
      <c r="H43" t="s">
        <v>16</v>
      </c>
      <c r="I43" t="s">
        <v>12</v>
      </c>
    </row>
    <row r="44" spans="1:9" x14ac:dyDescent="0.3">
      <c r="A44" t="s">
        <v>9</v>
      </c>
      <c r="B44" s="1">
        <v>45681</v>
      </c>
      <c r="C44" t="s">
        <v>25</v>
      </c>
      <c r="D44">
        <v>0</v>
      </c>
      <c r="E44">
        <v>41998</v>
      </c>
      <c r="F44">
        <v>41998</v>
      </c>
      <c r="G44" t="s">
        <v>25</v>
      </c>
      <c r="H44" t="s">
        <v>23</v>
      </c>
      <c r="I44" t="s">
        <v>23</v>
      </c>
    </row>
    <row r="45" spans="1:9" x14ac:dyDescent="0.3">
      <c r="A45" t="s">
        <v>9</v>
      </c>
      <c r="B45" s="1">
        <v>45681</v>
      </c>
      <c r="C45" t="s">
        <v>19</v>
      </c>
      <c r="D45">
        <v>500</v>
      </c>
      <c r="E45">
        <v>0</v>
      </c>
      <c r="F45">
        <v>-500</v>
      </c>
      <c r="G45" t="s">
        <v>19</v>
      </c>
      <c r="H45" t="s">
        <v>16</v>
      </c>
      <c r="I45" t="s">
        <v>12</v>
      </c>
    </row>
    <row r="46" spans="1:9" x14ac:dyDescent="0.3">
      <c r="A46" t="s">
        <v>4</v>
      </c>
      <c r="B46" s="1">
        <v>45681</v>
      </c>
      <c r="C46" t="s">
        <v>26</v>
      </c>
      <c r="D46">
        <v>2979</v>
      </c>
      <c r="E46">
        <v>0</v>
      </c>
      <c r="F46">
        <v>-2979</v>
      </c>
      <c r="G46" t="s">
        <v>26</v>
      </c>
      <c r="H46" t="s">
        <v>18</v>
      </c>
      <c r="I46" t="s">
        <v>12</v>
      </c>
    </row>
    <row r="47" spans="1:9" x14ac:dyDescent="0.3">
      <c r="A47" t="s">
        <v>4</v>
      </c>
      <c r="B47" s="1">
        <v>45682</v>
      </c>
      <c r="C47" t="s">
        <v>27</v>
      </c>
      <c r="D47">
        <v>1529</v>
      </c>
      <c r="E47">
        <v>0</v>
      </c>
      <c r="F47">
        <v>-1529</v>
      </c>
      <c r="G47" t="s">
        <v>27</v>
      </c>
      <c r="H47" t="s">
        <v>11</v>
      </c>
      <c r="I47" t="s">
        <v>12</v>
      </c>
    </row>
    <row r="48" spans="1:9" x14ac:dyDescent="0.3">
      <c r="A48" t="s">
        <v>4</v>
      </c>
      <c r="B48" s="1">
        <v>45682</v>
      </c>
      <c r="C48" t="s">
        <v>20</v>
      </c>
      <c r="D48">
        <v>455</v>
      </c>
      <c r="E48">
        <v>0</v>
      </c>
      <c r="F48">
        <v>-455</v>
      </c>
      <c r="G48" t="s">
        <v>20</v>
      </c>
      <c r="H48" t="s">
        <v>21</v>
      </c>
      <c r="I48" t="s">
        <v>12</v>
      </c>
    </row>
    <row r="49" spans="1:9" x14ac:dyDescent="0.3">
      <c r="A49" t="s">
        <v>9</v>
      </c>
      <c r="B49" s="1">
        <v>45683</v>
      </c>
      <c r="C49" t="s">
        <v>24</v>
      </c>
      <c r="D49">
        <v>0</v>
      </c>
      <c r="E49">
        <v>32566</v>
      </c>
      <c r="F49">
        <v>32566</v>
      </c>
      <c r="G49" t="s">
        <v>24</v>
      </c>
      <c r="H49" t="s">
        <v>23</v>
      </c>
      <c r="I49" t="s">
        <v>23</v>
      </c>
    </row>
    <row r="50" spans="1:9" x14ac:dyDescent="0.3">
      <c r="A50" t="s">
        <v>4</v>
      </c>
      <c r="B50" s="1">
        <v>45683</v>
      </c>
      <c r="C50" t="s">
        <v>25</v>
      </c>
      <c r="D50">
        <v>0</v>
      </c>
      <c r="E50">
        <v>30991</v>
      </c>
      <c r="F50">
        <v>30991</v>
      </c>
      <c r="G50" t="s">
        <v>25</v>
      </c>
      <c r="H50" t="s">
        <v>23</v>
      </c>
      <c r="I50" t="s">
        <v>23</v>
      </c>
    </row>
    <row r="51" spans="1:9" x14ac:dyDescent="0.3">
      <c r="A51" t="s">
        <v>9</v>
      </c>
      <c r="B51" s="1">
        <v>45684</v>
      </c>
      <c r="C51" t="s">
        <v>10</v>
      </c>
      <c r="D51">
        <v>1025</v>
      </c>
      <c r="E51">
        <v>0</v>
      </c>
      <c r="F51">
        <v>-1025</v>
      </c>
      <c r="G51" t="s">
        <v>10</v>
      </c>
      <c r="H51" t="s">
        <v>11</v>
      </c>
      <c r="I51" t="s">
        <v>12</v>
      </c>
    </row>
    <row r="52" spans="1:9" x14ac:dyDescent="0.3">
      <c r="A52" t="s">
        <v>4</v>
      </c>
      <c r="B52" s="1">
        <v>45684</v>
      </c>
      <c r="C52" t="s">
        <v>19</v>
      </c>
      <c r="D52">
        <v>4521</v>
      </c>
      <c r="E52">
        <v>0</v>
      </c>
      <c r="F52">
        <v>-4521</v>
      </c>
      <c r="G52" t="s">
        <v>19</v>
      </c>
      <c r="H52" t="s">
        <v>16</v>
      </c>
      <c r="I52" t="s">
        <v>12</v>
      </c>
    </row>
    <row r="53" spans="1:9" x14ac:dyDescent="0.3">
      <c r="A53" t="s">
        <v>9</v>
      </c>
      <c r="B53" s="1">
        <v>45685</v>
      </c>
      <c r="C53" t="s">
        <v>20</v>
      </c>
      <c r="D53">
        <v>6979</v>
      </c>
      <c r="E53">
        <v>0</v>
      </c>
      <c r="F53">
        <v>-6979</v>
      </c>
      <c r="G53" t="s">
        <v>20</v>
      </c>
      <c r="H53" t="s">
        <v>21</v>
      </c>
      <c r="I53" t="s">
        <v>12</v>
      </c>
    </row>
    <row r="54" spans="1:9" x14ac:dyDescent="0.3">
      <c r="A54" t="s">
        <v>4</v>
      </c>
      <c r="B54" s="1">
        <v>45685</v>
      </c>
      <c r="C54" t="s">
        <v>10</v>
      </c>
      <c r="D54">
        <v>4512</v>
      </c>
      <c r="E54">
        <v>0</v>
      </c>
      <c r="F54">
        <v>-4512</v>
      </c>
      <c r="G54" t="s">
        <v>10</v>
      </c>
      <c r="H54" t="s">
        <v>11</v>
      </c>
      <c r="I54" t="s">
        <v>12</v>
      </c>
    </row>
    <row r="55" spans="1:9" x14ac:dyDescent="0.3">
      <c r="A55" t="s">
        <v>9</v>
      </c>
      <c r="B55" s="1">
        <v>45686</v>
      </c>
      <c r="C55" t="s">
        <v>15</v>
      </c>
      <c r="D55">
        <v>5830</v>
      </c>
      <c r="E55">
        <v>0</v>
      </c>
      <c r="F55">
        <v>-5830</v>
      </c>
      <c r="G55" t="s">
        <v>15</v>
      </c>
      <c r="H55" t="s">
        <v>16</v>
      </c>
      <c r="I55" t="s">
        <v>12</v>
      </c>
    </row>
    <row r="56" spans="1:9" x14ac:dyDescent="0.3">
      <c r="A56" t="s">
        <v>4</v>
      </c>
      <c r="B56" s="1">
        <v>45686</v>
      </c>
      <c r="C56" t="s">
        <v>26</v>
      </c>
      <c r="D56">
        <v>4876</v>
      </c>
      <c r="E56">
        <v>0</v>
      </c>
      <c r="F56">
        <v>-4876</v>
      </c>
      <c r="G56" t="s">
        <v>26</v>
      </c>
      <c r="H56" t="s">
        <v>18</v>
      </c>
      <c r="I56" t="s">
        <v>12</v>
      </c>
    </row>
    <row r="57" spans="1:9" x14ac:dyDescent="0.3">
      <c r="A57" t="s">
        <v>9</v>
      </c>
      <c r="B57" s="1">
        <v>45686</v>
      </c>
      <c r="C57" t="s">
        <v>19</v>
      </c>
      <c r="D57">
        <v>3061</v>
      </c>
      <c r="E57">
        <v>0</v>
      </c>
      <c r="F57">
        <v>-3061</v>
      </c>
      <c r="G57" t="s">
        <v>19</v>
      </c>
      <c r="H57" t="s">
        <v>16</v>
      </c>
      <c r="I57" t="s">
        <v>12</v>
      </c>
    </row>
    <row r="58" spans="1:9" x14ac:dyDescent="0.3">
      <c r="A58" t="s">
        <v>9</v>
      </c>
      <c r="B58" s="1">
        <v>45687</v>
      </c>
      <c r="C58" t="s">
        <v>24</v>
      </c>
      <c r="D58">
        <v>0</v>
      </c>
      <c r="E58">
        <v>41578</v>
      </c>
      <c r="F58">
        <v>41578</v>
      </c>
      <c r="G58" t="s">
        <v>24</v>
      </c>
      <c r="H58" t="s">
        <v>23</v>
      </c>
      <c r="I58" t="s">
        <v>23</v>
      </c>
    </row>
    <row r="59" spans="1:9" x14ac:dyDescent="0.3">
      <c r="A59" t="s">
        <v>9</v>
      </c>
      <c r="B59" s="1">
        <v>45687</v>
      </c>
      <c r="C59" t="s">
        <v>15</v>
      </c>
      <c r="D59">
        <v>6795</v>
      </c>
      <c r="E59">
        <v>0</v>
      </c>
      <c r="F59">
        <v>-6795</v>
      </c>
      <c r="G59" t="s">
        <v>15</v>
      </c>
      <c r="H59" t="s">
        <v>16</v>
      </c>
      <c r="I59" t="s">
        <v>12</v>
      </c>
    </row>
    <row r="60" spans="1:9" x14ac:dyDescent="0.3">
      <c r="A60" t="s">
        <v>4</v>
      </c>
      <c r="B60" s="1">
        <v>45688</v>
      </c>
      <c r="C60" t="s">
        <v>22</v>
      </c>
      <c r="D60">
        <v>0</v>
      </c>
      <c r="E60">
        <v>16677</v>
      </c>
      <c r="F60">
        <v>16677</v>
      </c>
      <c r="G60" t="s">
        <v>22</v>
      </c>
      <c r="H60" t="s">
        <v>23</v>
      </c>
      <c r="I60" t="s">
        <v>23</v>
      </c>
    </row>
    <row r="61" spans="1:9" x14ac:dyDescent="0.3">
      <c r="A61" t="s">
        <v>4</v>
      </c>
      <c r="B61" s="1">
        <v>45688</v>
      </c>
      <c r="C61" t="s">
        <v>20</v>
      </c>
      <c r="D61">
        <v>5272</v>
      </c>
      <c r="E61">
        <v>0</v>
      </c>
      <c r="F61">
        <v>-5272</v>
      </c>
      <c r="G61" t="s">
        <v>20</v>
      </c>
      <c r="H61" t="s">
        <v>21</v>
      </c>
      <c r="I61" t="s">
        <v>12</v>
      </c>
    </row>
    <row r="62" spans="1:9" x14ac:dyDescent="0.3">
      <c r="A62" t="s">
        <v>9</v>
      </c>
      <c r="B62" s="1">
        <v>45689</v>
      </c>
      <c r="C62" t="s">
        <v>17</v>
      </c>
      <c r="D62">
        <v>1834</v>
      </c>
      <c r="E62">
        <v>0</v>
      </c>
      <c r="F62">
        <v>-1834</v>
      </c>
      <c r="G62" t="s">
        <v>17</v>
      </c>
      <c r="H62" t="s">
        <v>18</v>
      </c>
      <c r="I62" t="s">
        <v>12</v>
      </c>
    </row>
    <row r="63" spans="1:9" x14ac:dyDescent="0.3">
      <c r="A63" t="s">
        <v>9</v>
      </c>
      <c r="B63" s="1">
        <v>45690</v>
      </c>
      <c r="C63" t="s">
        <v>25</v>
      </c>
      <c r="D63">
        <v>0</v>
      </c>
      <c r="E63">
        <v>21147</v>
      </c>
      <c r="F63">
        <v>21147</v>
      </c>
      <c r="G63" t="s">
        <v>25</v>
      </c>
      <c r="H63" t="s">
        <v>23</v>
      </c>
      <c r="I63" t="s">
        <v>23</v>
      </c>
    </row>
    <row r="64" spans="1:9" x14ac:dyDescent="0.3">
      <c r="A64" t="s">
        <v>4</v>
      </c>
      <c r="B64" s="1">
        <v>45690</v>
      </c>
      <c r="C64" t="s">
        <v>17</v>
      </c>
      <c r="D64">
        <v>1176</v>
      </c>
      <c r="E64">
        <v>0</v>
      </c>
      <c r="F64">
        <v>-1176</v>
      </c>
      <c r="G64" t="s">
        <v>17</v>
      </c>
      <c r="H64" t="s">
        <v>18</v>
      </c>
      <c r="I64" t="s">
        <v>12</v>
      </c>
    </row>
    <row r="65" spans="1:9" x14ac:dyDescent="0.3">
      <c r="A65" t="s">
        <v>9</v>
      </c>
      <c r="B65" s="1">
        <v>45690</v>
      </c>
      <c r="C65" t="s">
        <v>25</v>
      </c>
      <c r="D65">
        <v>0</v>
      </c>
      <c r="E65">
        <v>16656</v>
      </c>
      <c r="F65">
        <v>16656</v>
      </c>
      <c r="G65" t="s">
        <v>25</v>
      </c>
      <c r="H65" t="s">
        <v>23</v>
      </c>
      <c r="I65" t="s">
        <v>23</v>
      </c>
    </row>
    <row r="66" spans="1:9" x14ac:dyDescent="0.3">
      <c r="A66" t="s">
        <v>4</v>
      </c>
      <c r="B66" s="1">
        <v>45691</v>
      </c>
      <c r="C66" t="s">
        <v>25</v>
      </c>
      <c r="D66">
        <v>0</v>
      </c>
      <c r="E66">
        <v>5958</v>
      </c>
      <c r="F66">
        <v>5958</v>
      </c>
      <c r="G66" t="s">
        <v>25</v>
      </c>
      <c r="H66" t="s">
        <v>23</v>
      </c>
      <c r="I66" t="s">
        <v>23</v>
      </c>
    </row>
    <row r="67" spans="1:9" x14ac:dyDescent="0.3">
      <c r="A67" t="s">
        <v>9</v>
      </c>
      <c r="B67" s="1">
        <v>45691</v>
      </c>
      <c r="C67" t="s">
        <v>15</v>
      </c>
      <c r="D67">
        <v>541</v>
      </c>
      <c r="E67">
        <v>0</v>
      </c>
      <c r="F67">
        <v>-541</v>
      </c>
      <c r="G67" t="s">
        <v>15</v>
      </c>
      <c r="H67" t="s">
        <v>16</v>
      </c>
      <c r="I67" t="s">
        <v>12</v>
      </c>
    </row>
    <row r="68" spans="1:9" x14ac:dyDescent="0.3">
      <c r="A68" t="s">
        <v>9</v>
      </c>
      <c r="B68" s="1">
        <v>45692</v>
      </c>
      <c r="C68" t="s">
        <v>15</v>
      </c>
      <c r="D68">
        <v>4886</v>
      </c>
      <c r="E68">
        <v>0</v>
      </c>
      <c r="F68">
        <v>-4886</v>
      </c>
      <c r="G68" t="s">
        <v>15</v>
      </c>
      <c r="H68" t="s">
        <v>16</v>
      </c>
      <c r="I68" t="s">
        <v>12</v>
      </c>
    </row>
    <row r="69" spans="1:9" x14ac:dyDescent="0.3">
      <c r="A69" t="s">
        <v>4</v>
      </c>
      <c r="B69" s="1">
        <v>45692</v>
      </c>
      <c r="C69" t="s">
        <v>27</v>
      </c>
      <c r="D69">
        <v>432</v>
      </c>
      <c r="E69">
        <v>0</v>
      </c>
      <c r="F69">
        <v>-432</v>
      </c>
      <c r="G69" t="s">
        <v>27</v>
      </c>
      <c r="H69" t="s">
        <v>11</v>
      </c>
      <c r="I69" t="s">
        <v>12</v>
      </c>
    </row>
    <row r="70" spans="1:9" x14ac:dyDescent="0.3">
      <c r="A70" t="s">
        <v>4</v>
      </c>
      <c r="B70" s="1">
        <v>45692</v>
      </c>
      <c r="C70" t="s">
        <v>13</v>
      </c>
      <c r="D70">
        <v>5960</v>
      </c>
      <c r="E70">
        <v>0</v>
      </c>
      <c r="F70">
        <v>-5960</v>
      </c>
      <c r="G70" t="s">
        <v>13</v>
      </c>
      <c r="H70" t="s">
        <v>14</v>
      </c>
      <c r="I70" t="s">
        <v>12</v>
      </c>
    </row>
    <row r="71" spans="1:9" x14ac:dyDescent="0.3">
      <c r="A71" t="s">
        <v>9</v>
      </c>
      <c r="B71" s="1">
        <v>45693</v>
      </c>
      <c r="C71" t="s">
        <v>27</v>
      </c>
      <c r="D71">
        <v>2323</v>
      </c>
      <c r="E71">
        <v>0</v>
      </c>
      <c r="F71">
        <v>-2323</v>
      </c>
      <c r="G71" t="s">
        <v>27</v>
      </c>
      <c r="H71" t="s">
        <v>11</v>
      </c>
      <c r="I71" t="s">
        <v>12</v>
      </c>
    </row>
    <row r="72" spans="1:9" x14ac:dyDescent="0.3">
      <c r="A72" t="s">
        <v>9</v>
      </c>
      <c r="B72" s="1">
        <v>45693</v>
      </c>
      <c r="C72" t="s">
        <v>13</v>
      </c>
      <c r="D72">
        <v>258</v>
      </c>
      <c r="E72">
        <v>0</v>
      </c>
      <c r="F72">
        <v>-258</v>
      </c>
      <c r="G72" t="s">
        <v>13</v>
      </c>
      <c r="H72" t="s">
        <v>14</v>
      </c>
      <c r="I72" t="s">
        <v>12</v>
      </c>
    </row>
    <row r="73" spans="1:9" x14ac:dyDescent="0.3">
      <c r="A73" t="s">
        <v>9</v>
      </c>
      <c r="B73" s="1">
        <v>45694</v>
      </c>
      <c r="C73" t="s">
        <v>24</v>
      </c>
      <c r="D73">
        <v>0</v>
      </c>
      <c r="E73">
        <v>25216</v>
      </c>
      <c r="F73">
        <v>25216</v>
      </c>
      <c r="G73" t="s">
        <v>24</v>
      </c>
      <c r="H73" t="s">
        <v>23</v>
      </c>
      <c r="I73" t="s">
        <v>23</v>
      </c>
    </row>
    <row r="74" spans="1:9" x14ac:dyDescent="0.3">
      <c r="A74" t="s">
        <v>9</v>
      </c>
      <c r="B74" s="1">
        <v>45695</v>
      </c>
      <c r="C74" t="s">
        <v>24</v>
      </c>
      <c r="D74">
        <v>0</v>
      </c>
      <c r="E74">
        <v>12889</v>
      </c>
      <c r="F74">
        <v>12889</v>
      </c>
      <c r="G74" t="s">
        <v>24</v>
      </c>
      <c r="H74" t="s">
        <v>23</v>
      </c>
      <c r="I74" t="s">
        <v>23</v>
      </c>
    </row>
    <row r="75" spans="1:9" x14ac:dyDescent="0.3">
      <c r="A75" t="s">
        <v>4</v>
      </c>
      <c r="B75" s="1">
        <v>45695</v>
      </c>
      <c r="C75" t="s">
        <v>17</v>
      </c>
      <c r="D75">
        <v>4866</v>
      </c>
      <c r="E75">
        <v>0</v>
      </c>
      <c r="F75">
        <v>-4866</v>
      </c>
      <c r="G75" t="s">
        <v>17</v>
      </c>
      <c r="H75" t="s">
        <v>18</v>
      </c>
      <c r="I75" t="s">
        <v>12</v>
      </c>
    </row>
    <row r="76" spans="1:9" x14ac:dyDescent="0.3">
      <c r="A76" t="s">
        <v>4</v>
      </c>
      <c r="B76" s="1">
        <v>45696</v>
      </c>
      <c r="C76" t="s">
        <v>27</v>
      </c>
      <c r="D76">
        <v>5991</v>
      </c>
      <c r="E76">
        <v>0</v>
      </c>
      <c r="F76">
        <v>-5991</v>
      </c>
      <c r="G76" t="s">
        <v>27</v>
      </c>
      <c r="H76" t="s">
        <v>11</v>
      </c>
      <c r="I76" t="s">
        <v>12</v>
      </c>
    </row>
    <row r="77" spans="1:9" x14ac:dyDescent="0.3">
      <c r="A77" t="s">
        <v>9</v>
      </c>
      <c r="B77" s="1">
        <v>45697</v>
      </c>
      <c r="C77" t="s">
        <v>24</v>
      </c>
      <c r="D77">
        <v>0</v>
      </c>
      <c r="E77">
        <v>8953</v>
      </c>
      <c r="F77">
        <v>8953</v>
      </c>
      <c r="G77" t="s">
        <v>24</v>
      </c>
      <c r="H77" t="s">
        <v>23</v>
      </c>
      <c r="I77" t="s">
        <v>23</v>
      </c>
    </row>
    <row r="78" spans="1:9" x14ac:dyDescent="0.3">
      <c r="A78" t="s">
        <v>9</v>
      </c>
      <c r="B78" s="1">
        <v>45697</v>
      </c>
      <c r="C78" t="s">
        <v>10</v>
      </c>
      <c r="D78">
        <v>1351</v>
      </c>
      <c r="E78">
        <v>0</v>
      </c>
      <c r="F78">
        <v>-1351</v>
      </c>
      <c r="G78" t="s">
        <v>10</v>
      </c>
      <c r="H78" t="s">
        <v>11</v>
      </c>
      <c r="I78" t="s">
        <v>12</v>
      </c>
    </row>
    <row r="79" spans="1:9" x14ac:dyDescent="0.3">
      <c r="A79" t="s">
        <v>4</v>
      </c>
      <c r="B79" s="1">
        <v>45698</v>
      </c>
      <c r="C79" t="s">
        <v>27</v>
      </c>
      <c r="D79">
        <v>370</v>
      </c>
      <c r="E79">
        <v>0</v>
      </c>
      <c r="F79">
        <v>-370</v>
      </c>
      <c r="G79" t="s">
        <v>27</v>
      </c>
      <c r="H79" t="s">
        <v>11</v>
      </c>
      <c r="I79" t="s">
        <v>12</v>
      </c>
    </row>
    <row r="80" spans="1:9" x14ac:dyDescent="0.3">
      <c r="A80" t="s">
        <v>9</v>
      </c>
      <c r="B80" s="1">
        <v>45698</v>
      </c>
      <c r="C80" t="s">
        <v>13</v>
      </c>
      <c r="D80">
        <v>2603</v>
      </c>
      <c r="E80">
        <v>0</v>
      </c>
      <c r="F80">
        <v>-2603</v>
      </c>
      <c r="G80" t="s">
        <v>13</v>
      </c>
      <c r="H80" t="s">
        <v>14</v>
      </c>
      <c r="I80" t="s">
        <v>12</v>
      </c>
    </row>
    <row r="81" spans="1:9" x14ac:dyDescent="0.3">
      <c r="A81" t="s">
        <v>4</v>
      </c>
      <c r="B81" s="1">
        <v>45698</v>
      </c>
      <c r="C81" t="s">
        <v>27</v>
      </c>
      <c r="D81">
        <v>5277</v>
      </c>
      <c r="E81">
        <v>0</v>
      </c>
      <c r="F81">
        <v>-5277</v>
      </c>
      <c r="G81" t="s">
        <v>27</v>
      </c>
      <c r="H81" t="s">
        <v>11</v>
      </c>
      <c r="I81" t="s">
        <v>12</v>
      </c>
    </row>
    <row r="82" spans="1:9" x14ac:dyDescent="0.3">
      <c r="A82" t="s">
        <v>4</v>
      </c>
      <c r="B82" s="1">
        <v>45699</v>
      </c>
      <c r="C82" t="s">
        <v>24</v>
      </c>
      <c r="D82">
        <v>0</v>
      </c>
      <c r="E82">
        <v>15093</v>
      </c>
      <c r="F82">
        <v>15093</v>
      </c>
      <c r="G82" t="s">
        <v>24</v>
      </c>
      <c r="H82" t="s">
        <v>23</v>
      </c>
      <c r="I82" t="s">
        <v>23</v>
      </c>
    </row>
    <row r="83" spans="1:9" x14ac:dyDescent="0.3">
      <c r="A83" t="s">
        <v>9</v>
      </c>
      <c r="B83" s="1">
        <v>45699</v>
      </c>
      <c r="C83" t="s">
        <v>20</v>
      </c>
      <c r="D83">
        <v>4300</v>
      </c>
      <c r="E83">
        <v>0</v>
      </c>
      <c r="F83">
        <v>-4300</v>
      </c>
      <c r="G83" t="s">
        <v>20</v>
      </c>
      <c r="H83" t="s">
        <v>21</v>
      </c>
      <c r="I83" t="s">
        <v>12</v>
      </c>
    </row>
    <row r="84" spans="1:9" x14ac:dyDescent="0.3">
      <c r="A84" t="s">
        <v>9</v>
      </c>
      <c r="B84" s="1">
        <v>45700</v>
      </c>
      <c r="C84" t="s">
        <v>17</v>
      </c>
      <c r="D84">
        <v>4162</v>
      </c>
      <c r="E84">
        <v>0</v>
      </c>
      <c r="F84">
        <v>-4162</v>
      </c>
      <c r="G84" t="s">
        <v>17</v>
      </c>
      <c r="H84" t="s">
        <v>18</v>
      </c>
      <c r="I84" t="s">
        <v>12</v>
      </c>
    </row>
    <row r="85" spans="1:9" x14ac:dyDescent="0.3">
      <c r="A85" t="s">
        <v>9</v>
      </c>
      <c r="B85" s="1">
        <v>45701</v>
      </c>
      <c r="C85" t="s">
        <v>13</v>
      </c>
      <c r="D85">
        <v>5900</v>
      </c>
      <c r="E85">
        <v>0</v>
      </c>
      <c r="F85">
        <v>-5900</v>
      </c>
      <c r="G85" t="s">
        <v>13</v>
      </c>
      <c r="H85" t="s">
        <v>14</v>
      </c>
      <c r="I85" t="s">
        <v>12</v>
      </c>
    </row>
    <row r="86" spans="1:9" x14ac:dyDescent="0.3">
      <c r="A86" t="s">
        <v>9</v>
      </c>
      <c r="B86" s="1">
        <v>45701</v>
      </c>
      <c r="C86" t="s">
        <v>13</v>
      </c>
      <c r="D86">
        <v>4408</v>
      </c>
      <c r="E86">
        <v>0</v>
      </c>
      <c r="F86">
        <v>-4408</v>
      </c>
      <c r="G86" t="s">
        <v>13</v>
      </c>
      <c r="H86" t="s">
        <v>14</v>
      </c>
      <c r="I86" t="s">
        <v>12</v>
      </c>
    </row>
    <row r="87" spans="1:9" x14ac:dyDescent="0.3">
      <c r="A87" t="s">
        <v>4</v>
      </c>
      <c r="B87" s="1">
        <v>45701</v>
      </c>
      <c r="C87" t="s">
        <v>27</v>
      </c>
      <c r="D87">
        <v>5406</v>
      </c>
      <c r="E87">
        <v>0</v>
      </c>
      <c r="F87">
        <v>-5406</v>
      </c>
      <c r="G87" t="s">
        <v>27</v>
      </c>
      <c r="H87" t="s">
        <v>11</v>
      </c>
      <c r="I87" t="s">
        <v>12</v>
      </c>
    </row>
    <row r="88" spans="1:9" x14ac:dyDescent="0.3">
      <c r="A88" t="s">
        <v>4</v>
      </c>
      <c r="B88" s="1">
        <v>45702</v>
      </c>
      <c r="C88" t="s">
        <v>27</v>
      </c>
      <c r="D88">
        <v>602</v>
      </c>
      <c r="E88">
        <v>0</v>
      </c>
      <c r="F88">
        <v>-602</v>
      </c>
      <c r="G88" t="s">
        <v>27</v>
      </c>
      <c r="H88" t="s">
        <v>11</v>
      </c>
      <c r="I88" t="s">
        <v>12</v>
      </c>
    </row>
    <row r="89" spans="1:9" x14ac:dyDescent="0.3">
      <c r="A89" t="s">
        <v>4</v>
      </c>
      <c r="B89" s="1">
        <v>45703</v>
      </c>
      <c r="C89" t="s">
        <v>17</v>
      </c>
      <c r="D89">
        <v>3263</v>
      </c>
      <c r="E89">
        <v>0</v>
      </c>
      <c r="F89">
        <v>-3263</v>
      </c>
      <c r="G89" t="s">
        <v>17</v>
      </c>
      <c r="H89" t="s">
        <v>18</v>
      </c>
      <c r="I89" t="s">
        <v>12</v>
      </c>
    </row>
    <row r="90" spans="1:9" x14ac:dyDescent="0.3">
      <c r="A90" t="s">
        <v>9</v>
      </c>
      <c r="B90" s="1">
        <v>45704</v>
      </c>
      <c r="C90" t="s">
        <v>17</v>
      </c>
      <c r="D90">
        <v>1195</v>
      </c>
      <c r="E90">
        <v>0</v>
      </c>
      <c r="F90">
        <v>-1195</v>
      </c>
      <c r="G90" t="s">
        <v>17</v>
      </c>
      <c r="H90" t="s">
        <v>18</v>
      </c>
      <c r="I90" t="s">
        <v>12</v>
      </c>
    </row>
    <row r="91" spans="1:9" x14ac:dyDescent="0.3">
      <c r="A91" t="s">
        <v>9</v>
      </c>
      <c r="B91" s="1">
        <v>45705</v>
      </c>
      <c r="C91" t="s">
        <v>22</v>
      </c>
      <c r="D91">
        <v>0</v>
      </c>
      <c r="E91">
        <v>33525</v>
      </c>
      <c r="F91">
        <v>33525</v>
      </c>
      <c r="G91" t="s">
        <v>22</v>
      </c>
      <c r="H91" t="s">
        <v>23</v>
      </c>
      <c r="I91" t="s">
        <v>23</v>
      </c>
    </row>
    <row r="92" spans="1:9" x14ac:dyDescent="0.3">
      <c r="A92" t="s">
        <v>4</v>
      </c>
      <c r="B92" s="1">
        <v>45706</v>
      </c>
      <c r="C92" t="s">
        <v>26</v>
      </c>
      <c r="D92">
        <v>993</v>
      </c>
      <c r="E92">
        <v>0</v>
      </c>
      <c r="F92">
        <v>-993</v>
      </c>
      <c r="G92" t="s">
        <v>26</v>
      </c>
      <c r="H92" t="s">
        <v>18</v>
      </c>
      <c r="I92" t="s">
        <v>12</v>
      </c>
    </row>
    <row r="93" spans="1:9" x14ac:dyDescent="0.3">
      <c r="A93" t="s">
        <v>4</v>
      </c>
      <c r="B93" s="1">
        <v>45706</v>
      </c>
      <c r="C93" t="s">
        <v>22</v>
      </c>
      <c r="D93">
        <v>0</v>
      </c>
      <c r="E93">
        <v>33032</v>
      </c>
      <c r="F93">
        <v>33032</v>
      </c>
      <c r="G93" t="s">
        <v>22</v>
      </c>
      <c r="H93" t="s">
        <v>23</v>
      </c>
      <c r="I93" t="s">
        <v>23</v>
      </c>
    </row>
    <row r="94" spans="1:9" x14ac:dyDescent="0.3">
      <c r="A94" t="s">
        <v>9</v>
      </c>
      <c r="B94" s="1">
        <v>45707</v>
      </c>
      <c r="C94" t="s">
        <v>15</v>
      </c>
      <c r="D94">
        <v>4601</v>
      </c>
      <c r="E94">
        <v>0</v>
      </c>
      <c r="F94">
        <v>-4601</v>
      </c>
      <c r="G94" t="s">
        <v>15</v>
      </c>
      <c r="H94" t="s">
        <v>16</v>
      </c>
      <c r="I94" t="s">
        <v>12</v>
      </c>
    </row>
    <row r="95" spans="1:9" x14ac:dyDescent="0.3">
      <c r="A95" t="s">
        <v>9</v>
      </c>
      <c r="B95" s="1">
        <v>45707</v>
      </c>
      <c r="C95" t="s">
        <v>10</v>
      </c>
      <c r="D95">
        <v>6043</v>
      </c>
      <c r="E95">
        <v>0</v>
      </c>
      <c r="F95">
        <v>-6043</v>
      </c>
      <c r="G95" t="s">
        <v>10</v>
      </c>
      <c r="H95" t="s">
        <v>11</v>
      </c>
      <c r="I95" t="s">
        <v>12</v>
      </c>
    </row>
    <row r="96" spans="1:9" x14ac:dyDescent="0.3">
      <c r="A96" t="s">
        <v>4</v>
      </c>
      <c r="B96" s="1">
        <v>45707</v>
      </c>
      <c r="C96" t="s">
        <v>25</v>
      </c>
      <c r="D96">
        <v>0</v>
      </c>
      <c r="E96">
        <v>38791</v>
      </c>
      <c r="F96">
        <v>38791</v>
      </c>
      <c r="G96" t="s">
        <v>25</v>
      </c>
      <c r="H96" t="s">
        <v>23</v>
      </c>
      <c r="I96" t="s">
        <v>23</v>
      </c>
    </row>
    <row r="97" spans="1:9" x14ac:dyDescent="0.3">
      <c r="A97" t="s">
        <v>4</v>
      </c>
      <c r="B97" s="1">
        <v>45708</v>
      </c>
      <c r="C97" t="s">
        <v>10</v>
      </c>
      <c r="D97">
        <v>706</v>
      </c>
      <c r="E97">
        <v>0</v>
      </c>
      <c r="F97">
        <v>-706</v>
      </c>
      <c r="G97" t="s">
        <v>10</v>
      </c>
      <c r="H97" t="s">
        <v>11</v>
      </c>
      <c r="I97" t="s">
        <v>12</v>
      </c>
    </row>
    <row r="98" spans="1:9" x14ac:dyDescent="0.3">
      <c r="A98" t="s">
        <v>9</v>
      </c>
      <c r="B98" s="1">
        <v>45708</v>
      </c>
      <c r="C98" t="s">
        <v>27</v>
      </c>
      <c r="D98">
        <v>735</v>
      </c>
      <c r="E98">
        <v>0</v>
      </c>
      <c r="F98">
        <v>-735</v>
      </c>
      <c r="G98" t="s">
        <v>27</v>
      </c>
      <c r="H98" t="s">
        <v>11</v>
      </c>
      <c r="I98" t="s">
        <v>12</v>
      </c>
    </row>
    <row r="99" spans="1:9" x14ac:dyDescent="0.3">
      <c r="A99" t="s">
        <v>4</v>
      </c>
      <c r="B99" s="1">
        <v>45709</v>
      </c>
      <c r="C99" t="s">
        <v>26</v>
      </c>
      <c r="D99">
        <v>1864</v>
      </c>
      <c r="E99">
        <v>0</v>
      </c>
      <c r="F99">
        <v>-1864</v>
      </c>
      <c r="G99" t="s">
        <v>26</v>
      </c>
      <c r="H99" t="s">
        <v>18</v>
      </c>
      <c r="I99" t="s">
        <v>12</v>
      </c>
    </row>
    <row r="100" spans="1:9" x14ac:dyDescent="0.3">
      <c r="A100" t="s">
        <v>4</v>
      </c>
      <c r="B100" s="1">
        <v>45710</v>
      </c>
      <c r="C100" t="s">
        <v>27</v>
      </c>
      <c r="D100">
        <v>5590</v>
      </c>
      <c r="E100">
        <v>0</v>
      </c>
      <c r="F100">
        <v>-5590</v>
      </c>
      <c r="G100" t="s">
        <v>27</v>
      </c>
      <c r="H100" t="s">
        <v>11</v>
      </c>
      <c r="I100" t="s">
        <v>12</v>
      </c>
    </row>
    <row r="101" spans="1:9" x14ac:dyDescent="0.3">
      <c r="A101" t="s">
        <v>4</v>
      </c>
      <c r="B101" s="1">
        <v>45710</v>
      </c>
      <c r="C101" t="s">
        <v>24</v>
      </c>
      <c r="D101">
        <v>0</v>
      </c>
      <c r="E101">
        <v>18618</v>
      </c>
      <c r="F101">
        <v>18618</v>
      </c>
      <c r="G101" t="s">
        <v>24</v>
      </c>
      <c r="H101" t="s">
        <v>23</v>
      </c>
      <c r="I101" t="s">
        <v>23</v>
      </c>
    </row>
    <row r="102" spans="1:9" x14ac:dyDescent="0.3">
      <c r="A102" t="s">
        <v>4</v>
      </c>
      <c r="B102" s="1">
        <v>45711</v>
      </c>
      <c r="C102" t="s">
        <v>19</v>
      </c>
      <c r="D102">
        <v>1419</v>
      </c>
      <c r="E102">
        <v>0</v>
      </c>
      <c r="F102">
        <v>-1419</v>
      </c>
      <c r="G102" t="s">
        <v>19</v>
      </c>
      <c r="H102" t="s">
        <v>16</v>
      </c>
      <c r="I102" t="s">
        <v>12</v>
      </c>
    </row>
    <row r="103" spans="1:9" x14ac:dyDescent="0.3">
      <c r="A103" t="s">
        <v>4</v>
      </c>
      <c r="B103" s="1">
        <v>45711</v>
      </c>
      <c r="C103" t="s">
        <v>22</v>
      </c>
      <c r="D103">
        <v>0</v>
      </c>
      <c r="E103">
        <v>27393</v>
      </c>
      <c r="F103">
        <v>27393</v>
      </c>
      <c r="G103" t="s">
        <v>22</v>
      </c>
      <c r="H103" t="s">
        <v>23</v>
      </c>
      <c r="I103" t="s">
        <v>23</v>
      </c>
    </row>
    <row r="104" spans="1:9" x14ac:dyDescent="0.3">
      <c r="A104" t="s">
        <v>4</v>
      </c>
      <c r="B104" s="1">
        <v>45711</v>
      </c>
      <c r="C104" t="s">
        <v>24</v>
      </c>
      <c r="D104">
        <v>0</v>
      </c>
      <c r="E104">
        <v>43561</v>
      </c>
      <c r="F104">
        <v>43561</v>
      </c>
      <c r="G104" t="s">
        <v>24</v>
      </c>
      <c r="H104" t="s">
        <v>23</v>
      </c>
      <c r="I104" t="s">
        <v>23</v>
      </c>
    </row>
    <row r="105" spans="1:9" x14ac:dyDescent="0.3">
      <c r="A105" t="s">
        <v>4</v>
      </c>
      <c r="B105" s="1">
        <v>45712</v>
      </c>
      <c r="C105" t="s">
        <v>22</v>
      </c>
      <c r="D105">
        <v>0</v>
      </c>
      <c r="E105">
        <v>16168</v>
      </c>
      <c r="F105">
        <v>16168</v>
      </c>
      <c r="G105" t="s">
        <v>22</v>
      </c>
      <c r="H105" t="s">
        <v>23</v>
      </c>
      <c r="I105" t="s">
        <v>23</v>
      </c>
    </row>
    <row r="106" spans="1:9" x14ac:dyDescent="0.3">
      <c r="A106" t="s">
        <v>9</v>
      </c>
      <c r="B106" s="1">
        <v>45712</v>
      </c>
      <c r="C106" t="s">
        <v>15</v>
      </c>
      <c r="D106">
        <v>3669</v>
      </c>
      <c r="E106">
        <v>0</v>
      </c>
      <c r="F106">
        <v>-3669</v>
      </c>
      <c r="G106" t="s">
        <v>15</v>
      </c>
      <c r="H106" t="s">
        <v>16</v>
      </c>
      <c r="I106" t="s">
        <v>12</v>
      </c>
    </row>
    <row r="107" spans="1:9" x14ac:dyDescent="0.3">
      <c r="A107" t="s">
        <v>9</v>
      </c>
      <c r="B107" s="1">
        <v>45712</v>
      </c>
      <c r="C107" t="s">
        <v>13</v>
      </c>
      <c r="D107">
        <v>1473</v>
      </c>
      <c r="E107">
        <v>0</v>
      </c>
      <c r="F107">
        <v>-1473</v>
      </c>
      <c r="G107" t="s">
        <v>13</v>
      </c>
      <c r="H107" t="s">
        <v>14</v>
      </c>
      <c r="I107" t="s">
        <v>12</v>
      </c>
    </row>
    <row r="108" spans="1:9" x14ac:dyDescent="0.3">
      <c r="A108" t="s">
        <v>9</v>
      </c>
      <c r="B108" s="1">
        <v>45713</v>
      </c>
      <c r="C108" t="s">
        <v>15</v>
      </c>
      <c r="D108">
        <v>4502</v>
      </c>
      <c r="E108">
        <v>0</v>
      </c>
      <c r="F108">
        <v>-4502</v>
      </c>
      <c r="G108" t="s">
        <v>15</v>
      </c>
      <c r="H108" t="s">
        <v>16</v>
      </c>
      <c r="I108" t="s">
        <v>12</v>
      </c>
    </row>
    <row r="109" spans="1:9" x14ac:dyDescent="0.3">
      <c r="A109" t="s">
        <v>9</v>
      </c>
      <c r="B109" s="1">
        <v>45713</v>
      </c>
      <c r="C109" t="s">
        <v>24</v>
      </c>
      <c r="D109">
        <v>0</v>
      </c>
      <c r="E109">
        <v>41093</v>
      </c>
      <c r="F109">
        <v>41093</v>
      </c>
      <c r="G109" t="s">
        <v>24</v>
      </c>
      <c r="H109" t="s">
        <v>23</v>
      </c>
      <c r="I109" t="s">
        <v>23</v>
      </c>
    </row>
    <row r="110" spans="1:9" x14ac:dyDescent="0.3">
      <c r="A110" t="s">
        <v>4</v>
      </c>
      <c r="B110" s="1">
        <v>45714</v>
      </c>
      <c r="C110" t="s">
        <v>26</v>
      </c>
      <c r="D110">
        <v>3602</v>
      </c>
      <c r="E110">
        <v>0</v>
      </c>
      <c r="F110">
        <v>-3602</v>
      </c>
      <c r="G110" t="s">
        <v>26</v>
      </c>
      <c r="H110" t="s">
        <v>18</v>
      </c>
      <c r="I110" t="s">
        <v>12</v>
      </c>
    </row>
    <row r="111" spans="1:9" x14ac:dyDescent="0.3">
      <c r="A111" t="s">
        <v>4</v>
      </c>
      <c r="B111" s="1">
        <v>45714</v>
      </c>
      <c r="C111" t="s">
        <v>13</v>
      </c>
      <c r="D111">
        <v>6828</v>
      </c>
      <c r="E111">
        <v>0</v>
      </c>
      <c r="F111">
        <v>-6828</v>
      </c>
      <c r="G111" t="s">
        <v>13</v>
      </c>
      <c r="H111" t="s">
        <v>14</v>
      </c>
      <c r="I111" t="s">
        <v>12</v>
      </c>
    </row>
    <row r="112" spans="1:9" x14ac:dyDescent="0.3">
      <c r="A112" t="s">
        <v>9</v>
      </c>
      <c r="B112" s="1">
        <v>45715</v>
      </c>
      <c r="C112" t="s">
        <v>13</v>
      </c>
      <c r="D112">
        <v>3908</v>
      </c>
      <c r="E112">
        <v>0</v>
      </c>
      <c r="F112">
        <v>-3908</v>
      </c>
      <c r="G112" t="s">
        <v>13</v>
      </c>
      <c r="H112" t="s">
        <v>14</v>
      </c>
      <c r="I112" t="s">
        <v>12</v>
      </c>
    </row>
    <row r="113" spans="1:9" x14ac:dyDescent="0.3">
      <c r="A113" t="s">
        <v>4</v>
      </c>
      <c r="B113" s="1">
        <v>45715</v>
      </c>
      <c r="C113" t="s">
        <v>15</v>
      </c>
      <c r="D113">
        <v>2597</v>
      </c>
      <c r="E113">
        <v>0</v>
      </c>
      <c r="F113">
        <v>-2597</v>
      </c>
      <c r="G113" t="s">
        <v>15</v>
      </c>
      <c r="H113" t="s">
        <v>16</v>
      </c>
      <c r="I113" t="s">
        <v>12</v>
      </c>
    </row>
    <row r="114" spans="1:9" x14ac:dyDescent="0.3">
      <c r="A114" t="s">
        <v>9</v>
      </c>
      <c r="B114" s="1">
        <v>45716</v>
      </c>
      <c r="C114" t="s">
        <v>13</v>
      </c>
      <c r="D114">
        <v>1514</v>
      </c>
      <c r="E114">
        <v>0</v>
      </c>
      <c r="F114">
        <v>-1514</v>
      </c>
      <c r="G114" t="s">
        <v>13</v>
      </c>
      <c r="H114" t="s">
        <v>14</v>
      </c>
      <c r="I114" t="s">
        <v>12</v>
      </c>
    </row>
    <row r="115" spans="1:9" x14ac:dyDescent="0.3">
      <c r="A115" t="s">
        <v>4</v>
      </c>
      <c r="B115" s="1">
        <v>45717</v>
      </c>
      <c r="C115" t="s">
        <v>13</v>
      </c>
      <c r="D115">
        <v>3455</v>
      </c>
      <c r="E115">
        <v>0</v>
      </c>
      <c r="F115">
        <v>-3455</v>
      </c>
      <c r="G115" t="s">
        <v>13</v>
      </c>
      <c r="H115" t="s">
        <v>14</v>
      </c>
      <c r="I115" t="s">
        <v>12</v>
      </c>
    </row>
    <row r="116" spans="1:9" x14ac:dyDescent="0.3">
      <c r="A116" t="s">
        <v>4</v>
      </c>
      <c r="B116" s="1">
        <v>45717</v>
      </c>
      <c r="C116" t="s">
        <v>17</v>
      </c>
      <c r="D116">
        <v>4252</v>
      </c>
      <c r="E116">
        <v>0</v>
      </c>
      <c r="F116">
        <v>-4252</v>
      </c>
      <c r="G116" t="s">
        <v>17</v>
      </c>
      <c r="H116" t="s">
        <v>18</v>
      </c>
      <c r="I116" t="s">
        <v>12</v>
      </c>
    </row>
    <row r="117" spans="1:9" x14ac:dyDescent="0.3">
      <c r="A117" t="s">
        <v>4</v>
      </c>
      <c r="B117" s="1">
        <v>45717</v>
      </c>
      <c r="C117" t="s">
        <v>19</v>
      </c>
      <c r="D117">
        <v>1655</v>
      </c>
      <c r="E117">
        <v>0</v>
      </c>
      <c r="F117">
        <v>-1655</v>
      </c>
      <c r="G117" t="s">
        <v>19</v>
      </c>
      <c r="H117" t="s">
        <v>16</v>
      </c>
      <c r="I117" t="s">
        <v>12</v>
      </c>
    </row>
    <row r="118" spans="1:9" x14ac:dyDescent="0.3">
      <c r="A118" t="s">
        <v>4</v>
      </c>
      <c r="B118" s="1">
        <v>45718</v>
      </c>
      <c r="C118" t="s">
        <v>27</v>
      </c>
      <c r="D118">
        <v>4500</v>
      </c>
      <c r="E118">
        <v>0</v>
      </c>
      <c r="F118">
        <v>-4500</v>
      </c>
      <c r="G118" t="s">
        <v>27</v>
      </c>
      <c r="H118" t="s">
        <v>11</v>
      </c>
      <c r="I118" t="s">
        <v>12</v>
      </c>
    </row>
    <row r="119" spans="1:9" x14ac:dyDescent="0.3">
      <c r="A119" t="s">
        <v>9</v>
      </c>
      <c r="B119" s="1">
        <v>45718</v>
      </c>
      <c r="C119" t="s">
        <v>17</v>
      </c>
      <c r="D119">
        <v>628</v>
      </c>
      <c r="E119">
        <v>0</v>
      </c>
      <c r="F119">
        <v>-628</v>
      </c>
      <c r="G119" t="s">
        <v>17</v>
      </c>
      <c r="H119" t="s">
        <v>18</v>
      </c>
      <c r="I119" t="s">
        <v>12</v>
      </c>
    </row>
    <row r="120" spans="1:9" x14ac:dyDescent="0.3">
      <c r="A120" t="s">
        <v>4</v>
      </c>
      <c r="B120" s="1">
        <v>45718</v>
      </c>
      <c r="C120" t="s">
        <v>25</v>
      </c>
      <c r="D120">
        <v>0</v>
      </c>
      <c r="E120">
        <v>17826</v>
      </c>
      <c r="F120">
        <v>17826</v>
      </c>
      <c r="G120" t="s">
        <v>25</v>
      </c>
      <c r="H120" t="s">
        <v>23</v>
      </c>
      <c r="I120" t="s">
        <v>23</v>
      </c>
    </row>
    <row r="121" spans="1:9" x14ac:dyDescent="0.3">
      <c r="A121" t="s">
        <v>4</v>
      </c>
      <c r="B121" s="1">
        <v>45719</v>
      </c>
      <c r="C121" t="s">
        <v>22</v>
      </c>
      <c r="D121">
        <v>0</v>
      </c>
      <c r="E121">
        <v>7812</v>
      </c>
      <c r="F121">
        <v>7812</v>
      </c>
      <c r="G121" t="s">
        <v>22</v>
      </c>
      <c r="H121" t="s">
        <v>23</v>
      </c>
      <c r="I121" t="s">
        <v>23</v>
      </c>
    </row>
    <row r="122" spans="1:9" x14ac:dyDescent="0.3">
      <c r="A122" t="s">
        <v>9</v>
      </c>
      <c r="B122" s="1">
        <v>45719</v>
      </c>
      <c r="C122" t="s">
        <v>17</v>
      </c>
      <c r="D122">
        <v>1310</v>
      </c>
      <c r="E122">
        <v>0</v>
      </c>
      <c r="F122">
        <v>-1310</v>
      </c>
      <c r="G122" t="s">
        <v>17</v>
      </c>
      <c r="H122" t="s">
        <v>18</v>
      </c>
      <c r="I122" t="s">
        <v>12</v>
      </c>
    </row>
    <row r="123" spans="1:9" x14ac:dyDescent="0.3">
      <c r="A123" t="s">
        <v>4</v>
      </c>
      <c r="B123" s="1">
        <v>45720</v>
      </c>
      <c r="C123" t="s">
        <v>20</v>
      </c>
      <c r="D123">
        <v>331</v>
      </c>
      <c r="E123">
        <v>0</v>
      </c>
      <c r="F123">
        <v>-331</v>
      </c>
      <c r="G123" t="s">
        <v>20</v>
      </c>
      <c r="H123" t="s">
        <v>21</v>
      </c>
      <c r="I123" t="s">
        <v>12</v>
      </c>
    </row>
    <row r="124" spans="1:9" x14ac:dyDescent="0.3">
      <c r="A124" t="s">
        <v>4</v>
      </c>
      <c r="B124" s="1">
        <v>45720</v>
      </c>
      <c r="C124" t="s">
        <v>19</v>
      </c>
      <c r="D124">
        <v>291</v>
      </c>
      <c r="E124">
        <v>0</v>
      </c>
      <c r="F124">
        <v>-291</v>
      </c>
      <c r="G124" t="s">
        <v>19</v>
      </c>
      <c r="H124" t="s">
        <v>16</v>
      </c>
      <c r="I124" t="s">
        <v>12</v>
      </c>
    </row>
    <row r="125" spans="1:9" x14ac:dyDescent="0.3">
      <c r="A125" t="s">
        <v>9</v>
      </c>
      <c r="B125" s="1">
        <v>45720</v>
      </c>
      <c r="C125" t="s">
        <v>25</v>
      </c>
      <c r="D125">
        <v>0</v>
      </c>
      <c r="E125">
        <v>20678</v>
      </c>
      <c r="F125">
        <v>20678</v>
      </c>
      <c r="G125" t="s">
        <v>25</v>
      </c>
      <c r="H125" t="s">
        <v>23</v>
      </c>
      <c r="I125" t="s">
        <v>23</v>
      </c>
    </row>
    <row r="126" spans="1:9" x14ac:dyDescent="0.3">
      <c r="A126" t="s">
        <v>4</v>
      </c>
      <c r="B126" s="1">
        <v>45721</v>
      </c>
      <c r="C126" t="s">
        <v>22</v>
      </c>
      <c r="D126">
        <v>0</v>
      </c>
      <c r="E126">
        <v>27972</v>
      </c>
      <c r="F126">
        <v>27972</v>
      </c>
      <c r="G126" t="s">
        <v>22</v>
      </c>
      <c r="H126" t="s">
        <v>23</v>
      </c>
      <c r="I126" t="s">
        <v>23</v>
      </c>
    </row>
    <row r="127" spans="1:9" x14ac:dyDescent="0.3">
      <c r="A127" t="s">
        <v>4</v>
      </c>
      <c r="B127" s="1">
        <v>45722</v>
      </c>
      <c r="C127" t="s">
        <v>20</v>
      </c>
      <c r="D127">
        <v>5043</v>
      </c>
      <c r="E127">
        <v>0</v>
      </c>
      <c r="F127">
        <v>-5043</v>
      </c>
      <c r="G127" t="s">
        <v>20</v>
      </c>
      <c r="H127" t="s">
        <v>21</v>
      </c>
      <c r="I127" t="s">
        <v>12</v>
      </c>
    </row>
    <row r="128" spans="1:9" x14ac:dyDescent="0.3">
      <c r="A128" t="s">
        <v>4</v>
      </c>
      <c r="B128" s="1">
        <v>45723</v>
      </c>
      <c r="C128" t="s">
        <v>17</v>
      </c>
      <c r="D128">
        <v>1029</v>
      </c>
      <c r="E128">
        <v>0</v>
      </c>
      <c r="F128">
        <v>-1029</v>
      </c>
      <c r="G128" t="s">
        <v>17</v>
      </c>
      <c r="H128" t="s">
        <v>18</v>
      </c>
      <c r="I128" t="s">
        <v>12</v>
      </c>
    </row>
    <row r="129" spans="1:9" x14ac:dyDescent="0.3">
      <c r="A129" t="s">
        <v>4</v>
      </c>
      <c r="B129" s="1">
        <v>45723</v>
      </c>
      <c r="C129" t="s">
        <v>13</v>
      </c>
      <c r="D129">
        <v>6101</v>
      </c>
      <c r="E129">
        <v>0</v>
      </c>
      <c r="F129">
        <v>-6101</v>
      </c>
      <c r="G129" t="s">
        <v>13</v>
      </c>
      <c r="H129" t="s">
        <v>14</v>
      </c>
      <c r="I129" t="s">
        <v>12</v>
      </c>
    </row>
    <row r="130" spans="1:9" x14ac:dyDescent="0.3">
      <c r="A130" t="s">
        <v>4</v>
      </c>
      <c r="B130" s="1">
        <v>45724</v>
      </c>
      <c r="C130" t="s">
        <v>26</v>
      </c>
      <c r="D130">
        <v>1442</v>
      </c>
      <c r="E130">
        <v>0</v>
      </c>
      <c r="F130">
        <v>-1442</v>
      </c>
      <c r="G130" t="s">
        <v>26</v>
      </c>
      <c r="H130" t="s">
        <v>18</v>
      </c>
      <c r="I130" t="s">
        <v>12</v>
      </c>
    </row>
    <row r="131" spans="1:9" x14ac:dyDescent="0.3">
      <c r="A131" t="s">
        <v>4</v>
      </c>
      <c r="B131" s="1">
        <v>45725</v>
      </c>
      <c r="C131" t="s">
        <v>19</v>
      </c>
      <c r="D131">
        <v>1781</v>
      </c>
      <c r="E131">
        <v>0</v>
      </c>
      <c r="F131">
        <v>-1781</v>
      </c>
      <c r="G131" t="s">
        <v>19</v>
      </c>
      <c r="H131" t="s">
        <v>16</v>
      </c>
      <c r="I131" t="s">
        <v>12</v>
      </c>
    </row>
    <row r="132" spans="1:9" x14ac:dyDescent="0.3">
      <c r="A132" t="s">
        <v>4</v>
      </c>
      <c r="B132" s="1">
        <v>45726</v>
      </c>
      <c r="C132" t="s">
        <v>24</v>
      </c>
      <c r="D132">
        <v>0</v>
      </c>
      <c r="E132">
        <v>7765</v>
      </c>
      <c r="F132">
        <v>7765</v>
      </c>
      <c r="G132" t="s">
        <v>24</v>
      </c>
      <c r="H132" t="s">
        <v>23</v>
      </c>
      <c r="I132" t="s">
        <v>23</v>
      </c>
    </row>
    <row r="133" spans="1:9" x14ac:dyDescent="0.3">
      <c r="A133" t="s">
        <v>9</v>
      </c>
      <c r="B133" s="1">
        <v>45727</v>
      </c>
      <c r="C133" t="s">
        <v>27</v>
      </c>
      <c r="D133">
        <v>6676</v>
      </c>
      <c r="E133">
        <v>0</v>
      </c>
      <c r="F133">
        <v>-6676</v>
      </c>
      <c r="G133" t="s">
        <v>27</v>
      </c>
      <c r="H133" t="s">
        <v>11</v>
      </c>
      <c r="I133" t="s">
        <v>12</v>
      </c>
    </row>
    <row r="134" spans="1:9" x14ac:dyDescent="0.3">
      <c r="A134" t="s">
        <v>4</v>
      </c>
      <c r="B134" s="1">
        <v>45727</v>
      </c>
      <c r="C134" t="s">
        <v>26</v>
      </c>
      <c r="D134">
        <v>3335</v>
      </c>
      <c r="E134">
        <v>0</v>
      </c>
      <c r="F134">
        <v>-3335</v>
      </c>
      <c r="G134" t="s">
        <v>26</v>
      </c>
      <c r="H134" t="s">
        <v>18</v>
      </c>
      <c r="I134" t="s">
        <v>12</v>
      </c>
    </row>
    <row r="135" spans="1:9" x14ac:dyDescent="0.3">
      <c r="A135" t="s">
        <v>9</v>
      </c>
      <c r="B135" s="1">
        <v>45728</v>
      </c>
      <c r="C135" t="s">
        <v>26</v>
      </c>
      <c r="D135">
        <v>4175</v>
      </c>
      <c r="E135">
        <v>0</v>
      </c>
      <c r="F135">
        <v>-4175</v>
      </c>
      <c r="G135" t="s">
        <v>26</v>
      </c>
      <c r="H135" t="s">
        <v>18</v>
      </c>
      <c r="I135" t="s">
        <v>12</v>
      </c>
    </row>
    <row r="136" spans="1:9" x14ac:dyDescent="0.3">
      <c r="A136" t="s">
        <v>9</v>
      </c>
      <c r="B136" s="1">
        <v>45728</v>
      </c>
      <c r="C136" t="s">
        <v>19</v>
      </c>
      <c r="D136">
        <v>4151</v>
      </c>
      <c r="E136">
        <v>0</v>
      </c>
      <c r="F136">
        <v>-4151</v>
      </c>
      <c r="G136" t="s">
        <v>19</v>
      </c>
      <c r="H136" t="s">
        <v>16</v>
      </c>
      <c r="I136" t="s">
        <v>12</v>
      </c>
    </row>
    <row r="137" spans="1:9" x14ac:dyDescent="0.3">
      <c r="A137" t="s">
        <v>9</v>
      </c>
      <c r="B137" s="1">
        <v>45729</v>
      </c>
      <c r="C137" t="s">
        <v>25</v>
      </c>
      <c r="D137">
        <v>0</v>
      </c>
      <c r="E137">
        <v>16434</v>
      </c>
      <c r="F137">
        <v>16434</v>
      </c>
      <c r="G137" t="s">
        <v>25</v>
      </c>
      <c r="H137" t="s">
        <v>23</v>
      </c>
      <c r="I137" t="s">
        <v>23</v>
      </c>
    </row>
    <row r="138" spans="1:9" x14ac:dyDescent="0.3">
      <c r="A138" t="s">
        <v>4</v>
      </c>
      <c r="B138" s="1">
        <v>45729</v>
      </c>
      <c r="C138" t="s">
        <v>24</v>
      </c>
      <c r="D138">
        <v>0</v>
      </c>
      <c r="E138">
        <v>41699</v>
      </c>
      <c r="F138">
        <v>41699</v>
      </c>
      <c r="G138" t="s">
        <v>24</v>
      </c>
      <c r="H138" t="s">
        <v>23</v>
      </c>
      <c r="I138" t="s">
        <v>23</v>
      </c>
    </row>
    <row r="139" spans="1:9" x14ac:dyDescent="0.3">
      <c r="A139" t="s">
        <v>4</v>
      </c>
      <c r="B139" s="1">
        <v>45729</v>
      </c>
      <c r="C139" t="s">
        <v>10</v>
      </c>
      <c r="D139">
        <v>3712</v>
      </c>
      <c r="E139">
        <v>0</v>
      </c>
      <c r="F139">
        <v>-3712</v>
      </c>
      <c r="G139" t="s">
        <v>10</v>
      </c>
      <c r="H139" t="s">
        <v>11</v>
      </c>
      <c r="I139" t="s">
        <v>12</v>
      </c>
    </row>
    <row r="140" spans="1:9" x14ac:dyDescent="0.3">
      <c r="A140" t="s">
        <v>9</v>
      </c>
      <c r="B140" s="1">
        <v>45730</v>
      </c>
      <c r="C140" t="s">
        <v>20</v>
      </c>
      <c r="D140">
        <v>4092</v>
      </c>
      <c r="E140">
        <v>0</v>
      </c>
      <c r="F140">
        <v>-4092</v>
      </c>
      <c r="G140" t="s">
        <v>20</v>
      </c>
      <c r="H140" t="s">
        <v>21</v>
      </c>
      <c r="I140" t="s">
        <v>12</v>
      </c>
    </row>
    <row r="141" spans="1:9" x14ac:dyDescent="0.3">
      <c r="A141" t="s">
        <v>9</v>
      </c>
      <c r="B141" s="1">
        <v>45730</v>
      </c>
      <c r="C141" t="s">
        <v>10</v>
      </c>
      <c r="D141">
        <v>6721</v>
      </c>
      <c r="E141">
        <v>0</v>
      </c>
      <c r="F141">
        <v>-6721</v>
      </c>
      <c r="G141" t="s">
        <v>10</v>
      </c>
      <c r="H141" t="s">
        <v>11</v>
      </c>
      <c r="I141" t="s">
        <v>12</v>
      </c>
    </row>
    <row r="142" spans="1:9" x14ac:dyDescent="0.3">
      <c r="A142" t="s">
        <v>9</v>
      </c>
      <c r="B142" s="1">
        <v>45730</v>
      </c>
      <c r="C142" t="s">
        <v>27</v>
      </c>
      <c r="D142">
        <v>1700</v>
      </c>
      <c r="E142">
        <v>0</v>
      </c>
      <c r="F142">
        <v>-1700</v>
      </c>
      <c r="G142" t="s">
        <v>27</v>
      </c>
      <c r="H142" t="s">
        <v>11</v>
      </c>
      <c r="I142" t="s">
        <v>12</v>
      </c>
    </row>
    <row r="143" spans="1:9" x14ac:dyDescent="0.3">
      <c r="A143" t="s">
        <v>4</v>
      </c>
      <c r="B143" s="1">
        <v>45731</v>
      </c>
      <c r="C143" t="s">
        <v>24</v>
      </c>
      <c r="D143">
        <v>0</v>
      </c>
      <c r="E143">
        <v>40436</v>
      </c>
      <c r="F143">
        <v>40436</v>
      </c>
      <c r="G143" t="s">
        <v>24</v>
      </c>
      <c r="H143" t="s">
        <v>23</v>
      </c>
      <c r="I143" t="s">
        <v>23</v>
      </c>
    </row>
    <row r="144" spans="1:9" x14ac:dyDescent="0.3">
      <c r="A144" t="s">
        <v>9</v>
      </c>
      <c r="B144" s="1">
        <v>45732</v>
      </c>
      <c r="C144" t="s">
        <v>24</v>
      </c>
      <c r="D144">
        <v>0</v>
      </c>
      <c r="E144">
        <v>42242</v>
      </c>
      <c r="F144">
        <v>42242</v>
      </c>
      <c r="G144" t="s">
        <v>24</v>
      </c>
      <c r="H144" t="s">
        <v>23</v>
      </c>
      <c r="I144" t="s">
        <v>23</v>
      </c>
    </row>
    <row r="145" spans="1:9" x14ac:dyDescent="0.3">
      <c r="A145" t="s">
        <v>4</v>
      </c>
      <c r="B145" s="1">
        <v>45732</v>
      </c>
      <c r="C145" t="s">
        <v>20</v>
      </c>
      <c r="D145">
        <v>4168</v>
      </c>
      <c r="E145">
        <v>0</v>
      </c>
      <c r="F145">
        <v>-4168</v>
      </c>
      <c r="G145" t="s">
        <v>20</v>
      </c>
      <c r="H145" t="s">
        <v>21</v>
      </c>
      <c r="I145" t="s">
        <v>12</v>
      </c>
    </row>
    <row r="146" spans="1:9" x14ac:dyDescent="0.3">
      <c r="A146" t="s">
        <v>9</v>
      </c>
      <c r="B146" s="1">
        <v>45732</v>
      </c>
      <c r="C146" t="s">
        <v>13</v>
      </c>
      <c r="D146">
        <v>2137</v>
      </c>
      <c r="E146">
        <v>0</v>
      </c>
      <c r="F146">
        <v>-2137</v>
      </c>
      <c r="G146" t="s">
        <v>13</v>
      </c>
      <c r="H146" t="s">
        <v>14</v>
      </c>
      <c r="I146" t="s">
        <v>12</v>
      </c>
    </row>
    <row r="147" spans="1:9" x14ac:dyDescent="0.3">
      <c r="A147" t="s">
        <v>4</v>
      </c>
      <c r="B147" s="1">
        <v>45733</v>
      </c>
      <c r="C147" t="s">
        <v>26</v>
      </c>
      <c r="D147">
        <v>3605</v>
      </c>
      <c r="E147">
        <v>0</v>
      </c>
      <c r="F147">
        <v>-3605</v>
      </c>
      <c r="G147" t="s">
        <v>26</v>
      </c>
      <c r="H147" t="s">
        <v>18</v>
      </c>
      <c r="I147" t="s">
        <v>12</v>
      </c>
    </row>
    <row r="148" spans="1:9" x14ac:dyDescent="0.3">
      <c r="A148" t="s">
        <v>9</v>
      </c>
      <c r="B148" s="1">
        <v>45734</v>
      </c>
      <c r="C148" t="s">
        <v>10</v>
      </c>
      <c r="D148">
        <v>633</v>
      </c>
      <c r="E148">
        <v>0</v>
      </c>
      <c r="F148">
        <v>-633</v>
      </c>
      <c r="G148" t="s">
        <v>10</v>
      </c>
      <c r="H148" t="s">
        <v>11</v>
      </c>
      <c r="I148" t="s">
        <v>12</v>
      </c>
    </row>
    <row r="149" spans="1:9" x14ac:dyDescent="0.3">
      <c r="A149" t="s">
        <v>9</v>
      </c>
      <c r="B149" s="1">
        <v>45735</v>
      </c>
      <c r="C149" t="s">
        <v>22</v>
      </c>
      <c r="D149">
        <v>0</v>
      </c>
      <c r="E149">
        <v>21241</v>
      </c>
      <c r="F149">
        <v>21241</v>
      </c>
      <c r="G149" t="s">
        <v>22</v>
      </c>
      <c r="H149" t="s">
        <v>23</v>
      </c>
      <c r="I149" t="s">
        <v>23</v>
      </c>
    </row>
    <row r="150" spans="1:9" x14ac:dyDescent="0.3">
      <c r="A150" t="s">
        <v>4</v>
      </c>
      <c r="B150" s="1">
        <v>45735</v>
      </c>
      <c r="C150" t="s">
        <v>19</v>
      </c>
      <c r="D150">
        <v>4532</v>
      </c>
      <c r="E150">
        <v>0</v>
      </c>
      <c r="F150">
        <v>-4532</v>
      </c>
      <c r="G150" t="s">
        <v>19</v>
      </c>
      <c r="H150" t="s">
        <v>16</v>
      </c>
      <c r="I150" t="s">
        <v>12</v>
      </c>
    </row>
    <row r="151" spans="1:9" x14ac:dyDescent="0.3">
      <c r="A151" t="s">
        <v>9</v>
      </c>
      <c r="B151" s="1">
        <v>45736</v>
      </c>
      <c r="C151" t="s">
        <v>20</v>
      </c>
      <c r="D151">
        <v>6462</v>
      </c>
      <c r="E151">
        <v>0</v>
      </c>
      <c r="F151">
        <v>-6462</v>
      </c>
      <c r="G151" t="s">
        <v>20</v>
      </c>
      <c r="H151" t="s">
        <v>21</v>
      </c>
      <c r="I151" t="s">
        <v>12</v>
      </c>
    </row>
    <row r="152" spans="1:9" x14ac:dyDescent="0.3">
      <c r="A152" t="s">
        <v>9</v>
      </c>
      <c r="B152" s="1">
        <v>45736</v>
      </c>
      <c r="C152" t="s">
        <v>26</v>
      </c>
      <c r="D152">
        <v>264</v>
      </c>
      <c r="E152">
        <v>0</v>
      </c>
      <c r="F152">
        <v>-264</v>
      </c>
      <c r="G152" t="s">
        <v>26</v>
      </c>
      <c r="H152" t="s">
        <v>18</v>
      </c>
      <c r="I152" t="s">
        <v>12</v>
      </c>
    </row>
    <row r="153" spans="1:9" x14ac:dyDescent="0.3">
      <c r="A153" t="s">
        <v>4</v>
      </c>
      <c r="B153" s="1">
        <v>45736</v>
      </c>
      <c r="C153" t="s">
        <v>26</v>
      </c>
      <c r="D153">
        <v>3454</v>
      </c>
      <c r="E153">
        <v>0</v>
      </c>
      <c r="F153">
        <v>-3454</v>
      </c>
      <c r="G153" t="s">
        <v>26</v>
      </c>
      <c r="H153" t="s">
        <v>18</v>
      </c>
      <c r="I153" t="s">
        <v>12</v>
      </c>
    </row>
    <row r="154" spans="1:9" x14ac:dyDescent="0.3">
      <c r="A154" t="s">
        <v>9</v>
      </c>
      <c r="B154" s="1">
        <v>45737</v>
      </c>
      <c r="C154" t="s">
        <v>27</v>
      </c>
      <c r="D154">
        <v>5036</v>
      </c>
      <c r="E154">
        <v>0</v>
      </c>
      <c r="F154">
        <v>-5036</v>
      </c>
      <c r="G154" t="s">
        <v>27</v>
      </c>
      <c r="H154" t="s">
        <v>11</v>
      </c>
      <c r="I154" t="s">
        <v>12</v>
      </c>
    </row>
    <row r="155" spans="1:9" x14ac:dyDescent="0.3">
      <c r="A155" t="s">
        <v>9</v>
      </c>
      <c r="B155" s="1">
        <v>45737</v>
      </c>
      <c r="C155" t="s">
        <v>22</v>
      </c>
      <c r="D155">
        <v>0</v>
      </c>
      <c r="E155">
        <v>35240</v>
      </c>
      <c r="F155">
        <v>35240</v>
      </c>
      <c r="G155" t="s">
        <v>22</v>
      </c>
      <c r="H155" t="s">
        <v>23</v>
      </c>
      <c r="I155" t="s">
        <v>23</v>
      </c>
    </row>
    <row r="156" spans="1:9" x14ac:dyDescent="0.3">
      <c r="A156" t="s">
        <v>9</v>
      </c>
      <c r="B156" s="1">
        <v>45738</v>
      </c>
      <c r="C156" t="s">
        <v>22</v>
      </c>
      <c r="D156">
        <v>0</v>
      </c>
      <c r="E156">
        <v>22646</v>
      </c>
      <c r="F156">
        <v>22646</v>
      </c>
      <c r="G156" t="s">
        <v>22</v>
      </c>
      <c r="H156" t="s">
        <v>23</v>
      </c>
      <c r="I156" t="s">
        <v>23</v>
      </c>
    </row>
    <row r="157" spans="1:9" x14ac:dyDescent="0.3">
      <c r="A157" t="s">
        <v>9</v>
      </c>
      <c r="B157" s="1">
        <v>45738</v>
      </c>
      <c r="C157" t="s">
        <v>13</v>
      </c>
      <c r="D157">
        <v>5909</v>
      </c>
      <c r="E157">
        <v>0</v>
      </c>
      <c r="F157">
        <v>-5909</v>
      </c>
      <c r="G157" t="s">
        <v>13</v>
      </c>
      <c r="H157" t="s">
        <v>14</v>
      </c>
      <c r="I157" t="s">
        <v>12</v>
      </c>
    </row>
    <row r="158" spans="1:9" x14ac:dyDescent="0.3">
      <c r="A158" t="s">
        <v>9</v>
      </c>
      <c r="B158" s="1">
        <v>45738</v>
      </c>
      <c r="C158" t="s">
        <v>17</v>
      </c>
      <c r="D158">
        <v>423</v>
      </c>
      <c r="E158">
        <v>0</v>
      </c>
      <c r="F158">
        <v>-423</v>
      </c>
      <c r="G158" t="s">
        <v>17</v>
      </c>
      <c r="H158" t="s">
        <v>18</v>
      </c>
      <c r="I158" t="s">
        <v>12</v>
      </c>
    </row>
    <row r="159" spans="1:9" x14ac:dyDescent="0.3">
      <c r="A159" t="s">
        <v>4</v>
      </c>
      <c r="B159" s="1">
        <v>45739</v>
      </c>
      <c r="C159" t="s">
        <v>19</v>
      </c>
      <c r="D159">
        <v>6235</v>
      </c>
      <c r="E159">
        <v>0</v>
      </c>
      <c r="F159">
        <v>-6235</v>
      </c>
      <c r="G159" t="s">
        <v>19</v>
      </c>
      <c r="H159" t="s">
        <v>16</v>
      </c>
      <c r="I159" t="s">
        <v>12</v>
      </c>
    </row>
    <row r="160" spans="1:9" x14ac:dyDescent="0.3">
      <c r="A160" t="s">
        <v>4</v>
      </c>
      <c r="B160" s="1">
        <v>45740</v>
      </c>
      <c r="C160" t="s">
        <v>19</v>
      </c>
      <c r="D160">
        <v>5001</v>
      </c>
      <c r="E160">
        <v>0</v>
      </c>
      <c r="F160">
        <v>-5001</v>
      </c>
      <c r="G160" t="s">
        <v>19</v>
      </c>
      <c r="H160" t="s">
        <v>16</v>
      </c>
      <c r="I160" t="s">
        <v>12</v>
      </c>
    </row>
    <row r="161" spans="1:9" x14ac:dyDescent="0.3">
      <c r="A161" t="s">
        <v>4</v>
      </c>
      <c r="B161" s="1">
        <v>45741</v>
      </c>
      <c r="C161" t="s">
        <v>22</v>
      </c>
      <c r="D161">
        <v>0</v>
      </c>
      <c r="E161">
        <v>9574</v>
      </c>
      <c r="F161">
        <v>9574</v>
      </c>
      <c r="G161" t="s">
        <v>22</v>
      </c>
      <c r="H161" t="s">
        <v>23</v>
      </c>
      <c r="I161" t="s">
        <v>23</v>
      </c>
    </row>
    <row r="162" spans="1:9" x14ac:dyDescent="0.3">
      <c r="A162" t="s">
        <v>4</v>
      </c>
      <c r="B162" s="1">
        <v>45742</v>
      </c>
      <c r="C162" t="s">
        <v>20</v>
      </c>
      <c r="D162">
        <v>5908</v>
      </c>
      <c r="E162">
        <v>0</v>
      </c>
      <c r="F162">
        <v>-5908</v>
      </c>
      <c r="G162" t="s">
        <v>20</v>
      </c>
      <c r="H162" t="s">
        <v>21</v>
      </c>
      <c r="I162" t="s">
        <v>12</v>
      </c>
    </row>
    <row r="163" spans="1:9" x14ac:dyDescent="0.3">
      <c r="A163" t="s">
        <v>9</v>
      </c>
      <c r="B163" s="1">
        <v>45742</v>
      </c>
      <c r="C163" t="s">
        <v>19</v>
      </c>
      <c r="D163">
        <v>5284</v>
      </c>
      <c r="E163">
        <v>0</v>
      </c>
      <c r="F163">
        <v>-5284</v>
      </c>
      <c r="G163" t="s">
        <v>19</v>
      </c>
      <c r="H163" t="s">
        <v>16</v>
      </c>
      <c r="I163" t="s">
        <v>12</v>
      </c>
    </row>
    <row r="164" spans="1:9" x14ac:dyDescent="0.3">
      <c r="A164" t="s">
        <v>4</v>
      </c>
      <c r="B164" s="1">
        <v>45743</v>
      </c>
      <c r="C164" t="s">
        <v>15</v>
      </c>
      <c r="D164">
        <v>3467</v>
      </c>
      <c r="E164">
        <v>0</v>
      </c>
      <c r="F164">
        <v>-3467</v>
      </c>
      <c r="G164" t="s">
        <v>15</v>
      </c>
      <c r="H164" t="s">
        <v>16</v>
      </c>
      <c r="I164" t="s">
        <v>12</v>
      </c>
    </row>
    <row r="165" spans="1:9" x14ac:dyDescent="0.3">
      <c r="A165" t="s">
        <v>9</v>
      </c>
      <c r="B165" s="1">
        <v>45744</v>
      </c>
      <c r="C165" t="s">
        <v>25</v>
      </c>
      <c r="D165">
        <v>0</v>
      </c>
      <c r="E165">
        <v>41399</v>
      </c>
      <c r="F165">
        <v>41399</v>
      </c>
      <c r="G165" t="s">
        <v>25</v>
      </c>
      <c r="H165" t="s">
        <v>23</v>
      </c>
      <c r="I165" t="s">
        <v>23</v>
      </c>
    </row>
    <row r="166" spans="1:9" x14ac:dyDescent="0.3">
      <c r="A166" t="s">
        <v>9</v>
      </c>
      <c r="B166" s="1">
        <v>45745</v>
      </c>
      <c r="C166" t="s">
        <v>13</v>
      </c>
      <c r="D166">
        <v>6368</v>
      </c>
      <c r="E166">
        <v>0</v>
      </c>
      <c r="F166">
        <v>-6368</v>
      </c>
      <c r="G166" t="s">
        <v>13</v>
      </c>
      <c r="H166" t="s">
        <v>14</v>
      </c>
      <c r="I166" t="s">
        <v>12</v>
      </c>
    </row>
    <row r="167" spans="1:9" x14ac:dyDescent="0.3">
      <c r="A167" t="s">
        <v>4</v>
      </c>
      <c r="B167" s="1">
        <v>45745</v>
      </c>
      <c r="C167" t="s">
        <v>15</v>
      </c>
      <c r="D167">
        <v>2339</v>
      </c>
      <c r="E167">
        <v>0</v>
      </c>
      <c r="F167">
        <v>-2339</v>
      </c>
      <c r="G167" t="s">
        <v>15</v>
      </c>
      <c r="H167" t="s">
        <v>16</v>
      </c>
      <c r="I167" t="s">
        <v>12</v>
      </c>
    </row>
    <row r="168" spans="1:9" x14ac:dyDescent="0.3">
      <c r="A168" t="s">
        <v>9</v>
      </c>
      <c r="B168" s="1">
        <v>45746</v>
      </c>
      <c r="C168" t="s">
        <v>24</v>
      </c>
      <c r="D168">
        <v>0</v>
      </c>
      <c r="E168">
        <v>13435</v>
      </c>
      <c r="F168">
        <v>13435</v>
      </c>
      <c r="G168" t="s">
        <v>24</v>
      </c>
      <c r="H168" t="s">
        <v>23</v>
      </c>
      <c r="I168" t="s">
        <v>23</v>
      </c>
    </row>
    <row r="169" spans="1:9" x14ac:dyDescent="0.3">
      <c r="A169" t="s">
        <v>9</v>
      </c>
      <c r="B169" s="1">
        <v>45746</v>
      </c>
      <c r="C169" t="s">
        <v>24</v>
      </c>
      <c r="D169">
        <v>0</v>
      </c>
      <c r="E169">
        <v>40106</v>
      </c>
      <c r="F169">
        <v>40106</v>
      </c>
      <c r="G169" t="s">
        <v>24</v>
      </c>
      <c r="H169" t="s">
        <v>23</v>
      </c>
      <c r="I169" t="s">
        <v>23</v>
      </c>
    </row>
    <row r="170" spans="1:9" x14ac:dyDescent="0.3">
      <c r="A170" t="s">
        <v>9</v>
      </c>
      <c r="B170" s="1">
        <v>45747</v>
      </c>
      <c r="C170" t="s">
        <v>17</v>
      </c>
      <c r="D170">
        <v>4859</v>
      </c>
      <c r="E170">
        <v>0</v>
      </c>
      <c r="F170">
        <v>-4859</v>
      </c>
      <c r="G170" t="s">
        <v>17</v>
      </c>
      <c r="H170" t="s">
        <v>18</v>
      </c>
      <c r="I170" t="s">
        <v>12</v>
      </c>
    </row>
    <row r="171" spans="1:9" x14ac:dyDescent="0.3">
      <c r="A171" t="s">
        <v>4</v>
      </c>
      <c r="B171" s="1">
        <v>45747</v>
      </c>
      <c r="C171" t="s">
        <v>20</v>
      </c>
      <c r="D171">
        <v>2671</v>
      </c>
      <c r="E171">
        <v>0</v>
      </c>
      <c r="F171">
        <v>-2671</v>
      </c>
      <c r="G171" t="s">
        <v>20</v>
      </c>
      <c r="H171" t="s">
        <v>21</v>
      </c>
      <c r="I171" t="s">
        <v>12</v>
      </c>
    </row>
    <row r="172" spans="1:9" x14ac:dyDescent="0.3">
      <c r="A172" t="s">
        <v>4</v>
      </c>
      <c r="B172" s="1">
        <v>45748</v>
      </c>
      <c r="C172" t="s">
        <v>26</v>
      </c>
      <c r="D172">
        <v>1781</v>
      </c>
      <c r="E172">
        <v>0</v>
      </c>
      <c r="F172">
        <v>-1781</v>
      </c>
      <c r="G172" t="s">
        <v>26</v>
      </c>
      <c r="H172" t="s">
        <v>18</v>
      </c>
      <c r="I172" t="s">
        <v>12</v>
      </c>
    </row>
    <row r="173" spans="1:9" x14ac:dyDescent="0.3">
      <c r="A173" t="s">
        <v>4</v>
      </c>
      <c r="B173" s="1">
        <v>45748</v>
      </c>
      <c r="C173" t="s">
        <v>26</v>
      </c>
      <c r="D173">
        <v>5448</v>
      </c>
      <c r="E173">
        <v>0</v>
      </c>
      <c r="F173">
        <v>-5448</v>
      </c>
      <c r="G173" t="s">
        <v>26</v>
      </c>
      <c r="H173" t="s">
        <v>18</v>
      </c>
      <c r="I173" t="s">
        <v>12</v>
      </c>
    </row>
    <row r="174" spans="1:9" x14ac:dyDescent="0.3">
      <c r="A174" t="s">
        <v>9</v>
      </c>
      <c r="B174" s="1">
        <v>45749</v>
      </c>
      <c r="C174" t="s">
        <v>22</v>
      </c>
      <c r="D174">
        <v>0</v>
      </c>
      <c r="E174">
        <v>40477</v>
      </c>
      <c r="F174">
        <v>40477</v>
      </c>
      <c r="G174" t="s">
        <v>22</v>
      </c>
      <c r="H174" t="s">
        <v>23</v>
      </c>
      <c r="I174" t="s">
        <v>23</v>
      </c>
    </row>
    <row r="175" spans="1:9" x14ac:dyDescent="0.3">
      <c r="A175" t="s">
        <v>4</v>
      </c>
      <c r="B175" s="1">
        <v>45750</v>
      </c>
      <c r="C175" t="s">
        <v>19</v>
      </c>
      <c r="D175">
        <v>556</v>
      </c>
      <c r="E175">
        <v>0</v>
      </c>
      <c r="F175">
        <v>-556</v>
      </c>
      <c r="G175" t="s">
        <v>19</v>
      </c>
      <c r="H175" t="s">
        <v>16</v>
      </c>
      <c r="I175" t="s">
        <v>12</v>
      </c>
    </row>
    <row r="176" spans="1:9" x14ac:dyDescent="0.3">
      <c r="A176" t="s">
        <v>4</v>
      </c>
      <c r="B176" s="1">
        <v>45750</v>
      </c>
      <c r="C176" t="s">
        <v>20</v>
      </c>
      <c r="D176">
        <v>3978</v>
      </c>
      <c r="E176">
        <v>0</v>
      </c>
      <c r="F176">
        <v>-3978</v>
      </c>
      <c r="G176" t="s">
        <v>20</v>
      </c>
      <c r="H176" t="s">
        <v>21</v>
      </c>
      <c r="I176" t="s">
        <v>12</v>
      </c>
    </row>
    <row r="177" spans="1:9" x14ac:dyDescent="0.3">
      <c r="A177" t="s">
        <v>9</v>
      </c>
      <c r="B177" s="1">
        <v>45750</v>
      </c>
      <c r="C177" t="s">
        <v>20</v>
      </c>
      <c r="D177">
        <v>2890</v>
      </c>
      <c r="E177">
        <v>0</v>
      </c>
      <c r="F177">
        <v>-2890</v>
      </c>
      <c r="G177" t="s">
        <v>20</v>
      </c>
      <c r="H177" t="s">
        <v>21</v>
      </c>
      <c r="I177" t="s">
        <v>12</v>
      </c>
    </row>
    <row r="178" spans="1:9" x14ac:dyDescent="0.3">
      <c r="A178" t="s">
        <v>4</v>
      </c>
      <c r="B178" s="1">
        <v>45751</v>
      </c>
      <c r="C178" t="s">
        <v>13</v>
      </c>
      <c r="D178">
        <v>159</v>
      </c>
      <c r="E178">
        <v>0</v>
      </c>
      <c r="F178">
        <v>-159</v>
      </c>
      <c r="G178" t="s">
        <v>13</v>
      </c>
      <c r="H178" t="s">
        <v>14</v>
      </c>
      <c r="I178" t="s">
        <v>12</v>
      </c>
    </row>
    <row r="179" spans="1:9" x14ac:dyDescent="0.3">
      <c r="A179" t="s">
        <v>4</v>
      </c>
      <c r="B179" s="1">
        <v>45751</v>
      </c>
      <c r="C179" t="s">
        <v>27</v>
      </c>
      <c r="D179">
        <v>6848</v>
      </c>
      <c r="E179">
        <v>0</v>
      </c>
      <c r="F179">
        <v>-6848</v>
      </c>
      <c r="G179" t="s">
        <v>27</v>
      </c>
      <c r="H179" t="s">
        <v>11</v>
      </c>
      <c r="I179" t="s">
        <v>12</v>
      </c>
    </row>
    <row r="180" spans="1:9" x14ac:dyDescent="0.3">
      <c r="A180" t="s">
        <v>9</v>
      </c>
      <c r="B180" s="1">
        <v>45752</v>
      </c>
      <c r="C180" t="s">
        <v>15</v>
      </c>
      <c r="D180">
        <v>3724</v>
      </c>
      <c r="E180">
        <v>0</v>
      </c>
      <c r="F180">
        <v>-3724</v>
      </c>
      <c r="G180" t="s">
        <v>15</v>
      </c>
      <c r="H180" t="s">
        <v>16</v>
      </c>
      <c r="I180" t="s">
        <v>12</v>
      </c>
    </row>
    <row r="181" spans="1:9" x14ac:dyDescent="0.3">
      <c r="A181" t="s">
        <v>4</v>
      </c>
      <c r="B181" s="1">
        <v>45753</v>
      </c>
      <c r="C181" t="s">
        <v>26</v>
      </c>
      <c r="D181">
        <v>2936</v>
      </c>
      <c r="E181">
        <v>0</v>
      </c>
      <c r="F181">
        <v>-2936</v>
      </c>
      <c r="G181" t="s">
        <v>26</v>
      </c>
      <c r="H181" t="s">
        <v>18</v>
      </c>
      <c r="I181" t="s">
        <v>12</v>
      </c>
    </row>
    <row r="182" spans="1:9" x14ac:dyDescent="0.3">
      <c r="A182" t="s">
        <v>9</v>
      </c>
      <c r="B182" s="1">
        <v>45753</v>
      </c>
      <c r="C182" t="s">
        <v>22</v>
      </c>
      <c r="D182">
        <v>0</v>
      </c>
      <c r="E182">
        <v>33589</v>
      </c>
      <c r="F182">
        <v>33589</v>
      </c>
      <c r="G182" t="s">
        <v>22</v>
      </c>
      <c r="H182" t="s">
        <v>23</v>
      </c>
      <c r="I182" t="s">
        <v>23</v>
      </c>
    </row>
    <row r="183" spans="1:9" x14ac:dyDescent="0.3">
      <c r="A183" t="s">
        <v>9</v>
      </c>
      <c r="B183" s="1">
        <v>45753</v>
      </c>
      <c r="C183" t="s">
        <v>17</v>
      </c>
      <c r="D183">
        <v>4264</v>
      </c>
      <c r="E183">
        <v>0</v>
      </c>
      <c r="F183">
        <v>-4264</v>
      </c>
      <c r="G183" t="s">
        <v>17</v>
      </c>
      <c r="H183" t="s">
        <v>18</v>
      </c>
      <c r="I183" t="s">
        <v>12</v>
      </c>
    </row>
    <row r="184" spans="1:9" x14ac:dyDescent="0.3">
      <c r="A184" t="s">
        <v>9</v>
      </c>
      <c r="B184" s="1">
        <v>45754</v>
      </c>
      <c r="C184" t="s">
        <v>20</v>
      </c>
      <c r="D184">
        <v>4850</v>
      </c>
      <c r="E184">
        <v>0</v>
      </c>
      <c r="F184">
        <v>-4850</v>
      </c>
      <c r="G184" t="s">
        <v>20</v>
      </c>
      <c r="H184" t="s">
        <v>21</v>
      </c>
      <c r="I184" t="s">
        <v>12</v>
      </c>
    </row>
    <row r="185" spans="1:9" x14ac:dyDescent="0.3">
      <c r="A185" t="s">
        <v>9</v>
      </c>
      <c r="B185" s="1">
        <v>45754</v>
      </c>
      <c r="C185" t="s">
        <v>27</v>
      </c>
      <c r="D185">
        <v>2726</v>
      </c>
      <c r="E185">
        <v>0</v>
      </c>
      <c r="F185">
        <v>-2726</v>
      </c>
      <c r="G185" t="s">
        <v>27</v>
      </c>
      <c r="H185" t="s">
        <v>11</v>
      </c>
      <c r="I185" t="s">
        <v>12</v>
      </c>
    </row>
    <row r="186" spans="1:9" x14ac:dyDescent="0.3">
      <c r="A186" t="s">
        <v>4</v>
      </c>
      <c r="B186" s="1">
        <v>45754</v>
      </c>
      <c r="C186" t="s">
        <v>25</v>
      </c>
      <c r="D186">
        <v>0</v>
      </c>
      <c r="E186">
        <v>34340</v>
      </c>
      <c r="F186">
        <v>34340</v>
      </c>
      <c r="G186" t="s">
        <v>25</v>
      </c>
      <c r="H186" t="s">
        <v>23</v>
      </c>
      <c r="I186" t="s">
        <v>23</v>
      </c>
    </row>
    <row r="187" spans="1:9" x14ac:dyDescent="0.3">
      <c r="A187" t="s">
        <v>4</v>
      </c>
      <c r="B187" s="1">
        <v>45755</v>
      </c>
      <c r="C187" t="s">
        <v>24</v>
      </c>
      <c r="D187">
        <v>0</v>
      </c>
      <c r="E187">
        <v>13801</v>
      </c>
      <c r="F187">
        <v>13801</v>
      </c>
      <c r="G187" t="s">
        <v>24</v>
      </c>
      <c r="H187" t="s">
        <v>23</v>
      </c>
      <c r="I187" t="s">
        <v>23</v>
      </c>
    </row>
    <row r="188" spans="1:9" x14ac:dyDescent="0.3">
      <c r="A188" t="s">
        <v>4</v>
      </c>
      <c r="B188" s="1">
        <v>45756</v>
      </c>
      <c r="C188" t="s">
        <v>24</v>
      </c>
      <c r="D188">
        <v>0</v>
      </c>
      <c r="E188">
        <v>16671</v>
      </c>
      <c r="F188">
        <v>16671</v>
      </c>
      <c r="G188" t="s">
        <v>24</v>
      </c>
      <c r="H188" t="s">
        <v>23</v>
      </c>
      <c r="I188" t="s">
        <v>23</v>
      </c>
    </row>
    <row r="189" spans="1:9" x14ac:dyDescent="0.3">
      <c r="A189" t="s">
        <v>9</v>
      </c>
      <c r="B189" s="1">
        <v>45757</v>
      </c>
      <c r="C189" t="s">
        <v>27</v>
      </c>
      <c r="D189">
        <v>4227</v>
      </c>
      <c r="E189">
        <v>0</v>
      </c>
      <c r="F189">
        <v>-4227</v>
      </c>
      <c r="G189" t="s">
        <v>27</v>
      </c>
      <c r="H189" t="s">
        <v>11</v>
      </c>
      <c r="I189" t="s">
        <v>12</v>
      </c>
    </row>
    <row r="190" spans="1:9" x14ac:dyDescent="0.3">
      <c r="A190" t="s">
        <v>4</v>
      </c>
      <c r="B190" s="1">
        <v>45757</v>
      </c>
      <c r="C190" t="s">
        <v>19</v>
      </c>
      <c r="D190">
        <v>540</v>
      </c>
      <c r="E190">
        <v>0</v>
      </c>
      <c r="F190">
        <v>-540</v>
      </c>
      <c r="G190" t="s">
        <v>19</v>
      </c>
      <c r="H190" t="s">
        <v>16</v>
      </c>
      <c r="I190" t="s">
        <v>12</v>
      </c>
    </row>
    <row r="191" spans="1:9" x14ac:dyDescent="0.3">
      <c r="A191" t="s">
        <v>9</v>
      </c>
      <c r="B191" s="1">
        <v>45758</v>
      </c>
      <c r="C191" t="s">
        <v>27</v>
      </c>
      <c r="D191">
        <v>3226</v>
      </c>
      <c r="E191">
        <v>0</v>
      </c>
      <c r="F191">
        <v>-3226</v>
      </c>
      <c r="G191" t="s">
        <v>27</v>
      </c>
      <c r="H191" t="s">
        <v>11</v>
      </c>
      <c r="I191" t="s">
        <v>12</v>
      </c>
    </row>
    <row r="192" spans="1:9" x14ac:dyDescent="0.3">
      <c r="A192" t="s">
        <v>9</v>
      </c>
      <c r="B192" s="1">
        <v>45758</v>
      </c>
      <c r="C192" t="s">
        <v>13</v>
      </c>
      <c r="D192">
        <v>3696</v>
      </c>
      <c r="E192">
        <v>0</v>
      </c>
      <c r="F192">
        <v>-3696</v>
      </c>
      <c r="G192" t="s">
        <v>13</v>
      </c>
      <c r="H192" t="s">
        <v>14</v>
      </c>
      <c r="I192" t="s">
        <v>12</v>
      </c>
    </row>
    <row r="193" spans="1:9" x14ac:dyDescent="0.3">
      <c r="A193" t="s">
        <v>4</v>
      </c>
      <c r="B193" s="1">
        <v>45759</v>
      </c>
      <c r="C193" t="s">
        <v>17</v>
      </c>
      <c r="D193">
        <v>399</v>
      </c>
      <c r="E193">
        <v>0</v>
      </c>
      <c r="F193">
        <v>-399</v>
      </c>
      <c r="G193" t="s">
        <v>17</v>
      </c>
      <c r="H193" t="s">
        <v>18</v>
      </c>
      <c r="I193" t="s">
        <v>12</v>
      </c>
    </row>
    <row r="194" spans="1:9" x14ac:dyDescent="0.3">
      <c r="A194" t="s">
        <v>9</v>
      </c>
      <c r="B194" s="1">
        <v>45759</v>
      </c>
      <c r="C194" t="s">
        <v>19</v>
      </c>
      <c r="D194">
        <v>3473</v>
      </c>
      <c r="E194">
        <v>0</v>
      </c>
      <c r="F194">
        <v>-3473</v>
      </c>
      <c r="G194" t="s">
        <v>19</v>
      </c>
      <c r="H194" t="s">
        <v>16</v>
      </c>
      <c r="I194" t="s">
        <v>12</v>
      </c>
    </row>
    <row r="195" spans="1:9" x14ac:dyDescent="0.3">
      <c r="A195" t="s">
        <v>4</v>
      </c>
      <c r="B195" s="1">
        <v>45760</v>
      </c>
      <c r="C195" t="s">
        <v>15</v>
      </c>
      <c r="D195">
        <v>2094</v>
      </c>
      <c r="E195">
        <v>0</v>
      </c>
      <c r="F195">
        <v>-2094</v>
      </c>
      <c r="G195" t="s">
        <v>15</v>
      </c>
      <c r="H195" t="s">
        <v>16</v>
      </c>
      <c r="I195" t="s">
        <v>12</v>
      </c>
    </row>
    <row r="196" spans="1:9" x14ac:dyDescent="0.3">
      <c r="A196" t="s">
        <v>9</v>
      </c>
      <c r="B196" s="1">
        <v>45761</v>
      </c>
      <c r="C196" t="s">
        <v>20</v>
      </c>
      <c r="D196">
        <v>4855</v>
      </c>
      <c r="E196">
        <v>0</v>
      </c>
      <c r="F196">
        <v>-4855</v>
      </c>
      <c r="G196" t="s">
        <v>20</v>
      </c>
      <c r="H196" t="s">
        <v>21</v>
      </c>
      <c r="I196" t="s">
        <v>12</v>
      </c>
    </row>
    <row r="197" spans="1:9" x14ac:dyDescent="0.3">
      <c r="A197" t="s">
        <v>9</v>
      </c>
      <c r="B197" s="1">
        <v>45761</v>
      </c>
      <c r="C197" t="s">
        <v>17</v>
      </c>
      <c r="D197">
        <v>6707</v>
      </c>
      <c r="E197">
        <v>0</v>
      </c>
      <c r="F197">
        <v>-6707</v>
      </c>
      <c r="G197" t="s">
        <v>17</v>
      </c>
      <c r="H197" t="s">
        <v>18</v>
      </c>
      <c r="I197" t="s">
        <v>12</v>
      </c>
    </row>
    <row r="198" spans="1:9" x14ac:dyDescent="0.3">
      <c r="A198" t="s">
        <v>9</v>
      </c>
      <c r="B198" s="1">
        <v>45761</v>
      </c>
      <c r="C198" t="s">
        <v>25</v>
      </c>
      <c r="D198">
        <v>0</v>
      </c>
      <c r="E198">
        <v>22824</v>
      </c>
      <c r="F198">
        <v>22824</v>
      </c>
      <c r="G198" t="s">
        <v>25</v>
      </c>
      <c r="H198" t="s">
        <v>23</v>
      </c>
      <c r="I198" t="s">
        <v>23</v>
      </c>
    </row>
    <row r="199" spans="1:9" x14ac:dyDescent="0.3">
      <c r="A199" t="s">
        <v>9</v>
      </c>
      <c r="B199" s="1">
        <v>45762</v>
      </c>
      <c r="C199" t="s">
        <v>13</v>
      </c>
      <c r="D199">
        <v>3533</v>
      </c>
      <c r="E199">
        <v>0</v>
      </c>
      <c r="F199">
        <v>-3533</v>
      </c>
      <c r="G199" t="s">
        <v>13</v>
      </c>
      <c r="H199" t="s">
        <v>14</v>
      </c>
      <c r="I199" t="s">
        <v>12</v>
      </c>
    </row>
    <row r="200" spans="1:9" x14ac:dyDescent="0.3">
      <c r="A200" t="s">
        <v>4</v>
      </c>
      <c r="B200" s="1">
        <v>45762</v>
      </c>
      <c r="C200" t="s">
        <v>20</v>
      </c>
      <c r="D200">
        <v>5873</v>
      </c>
      <c r="E200">
        <v>0</v>
      </c>
      <c r="F200">
        <v>-5873</v>
      </c>
      <c r="G200" t="s">
        <v>20</v>
      </c>
      <c r="H200" t="s">
        <v>21</v>
      </c>
      <c r="I200" t="s">
        <v>12</v>
      </c>
    </row>
    <row r="201" spans="1:9" x14ac:dyDescent="0.3">
      <c r="A201" t="s">
        <v>9</v>
      </c>
      <c r="B201" s="1">
        <v>45762</v>
      </c>
      <c r="C201" t="s">
        <v>25</v>
      </c>
      <c r="D201">
        <v>0</v>
      </c>
      <c r="E201">
        <v>42550</v>
      </c>
      <c r="F201">
        <v>42550</v>
      </c>
      <c r="G201" t="s">
        <v>25</v>
      </c>
      <c r="H201" t="s">
        <v>23</v>
      </c>
      <c r="I201" t="s">
        <v>23</v>
      </c>
    </row>
    <row r="202" spans="1:9" x14ac:dyDescent="0.3">
      <c r="A202" t="s">
        <v>4</v>
      </c>
      <c r="B202" s="1">
        <v>45763</v>
      </c>
      <c r="C202" t="s">
        <v>17</v>
      </c>
      <c r="D202">
        <v>2573</v>
      </c>
      <c r="E202">
        <v>0</v>
      </c>
      <c r="F202">
        <v>-2573</v>
      </c>
      <c r="G202" t="s">
        <v>17</v>
      </c>
      <c r="H202" t="s">
        <v>18</v>
      </c>
      <c r="I202" t="s">
        <v>12</v>
      </c>
    </row>
    <row r="203" spans="1:9" x14ac:dyDescent="0.3">
      <c r="A203" t="s">
        <v>4</v>
      </c>
      <c r="B203" s="1">
        <v>45764</v>
      </c>
      <c r="C203" t="s">
        <v>22</v>
      </c>
      <c r="D203">
        <v>0</v>
      </c>
      <c r="E203">
        <v>10849</v>
      </c>
      <c r="F203">
        <v>10849</v>
      </c>
      <c r="G203" t="s">
        <v>22</v>
      </c>
      <c r="H203" t="s">
        <v>23</v>
      </c>
      <c r="I203" t="s">
        <v>23</v>
      </c>
    </row>
    <row r="204" spans="1:9" x14ac:dyDescent="0.3">
      <c r="A204" t="s">
        <v>4</v>
      </c>
      <c r="B204" s="1">
        <v>45765</v>
      </c>
      <c r="C204" t="s">
        <v>26</v>
      </c>
      <c r="D204">
        <v>2624</v>
      </c>
      <c r="E204">
        <v>0</v>
      </c>
      <c r="F204">
        <v>-2624</v>
      </c>
      <c r="G204" t="s">
        <v>26</v>
      </c>
      <c r="H204" t="s">
        <v>18</v>
      </c>
      <c r="I204" t="s">
        <v>12</v>
      </c>
    </row>
    <row r="205" spans="1:9" x14ac:dyDescent="0.3">
      <c r="A205" t="s">
        <v>9</v>
      </c>
      <c r="B205" s="1">
        <v>45765</v>
      </c>
      <c r="C205" t="s">
        <v>13</v>
      </c>
      <c r="D205">
        <v>6497</v>
      </c>
      <c r="E205">
        <v>0</v>
      </c>
      <c r="F205">
        <v>-6497</v>
      </c>
      <c r="G205" t="s">
        <v>13</v>
      </c>
      <c r="H205" t="s">
        <v>14</v>
      </c>
      <c r="I205" t="s">
        <v>12</v>
      </c>
    </row>
    <row r="206" spans="1:9" x14ac:dyDescent="0.3">
      <c r="A206" t="s">
        <v>4</v>
      </c>
      <c r="B206" s="1">
        <v>45766</v>
      </c>
      <c r="C206" t="s">
        <v>17</v>
      </c>
      <c r="D206">
        <v>4054</v>
      </c>
      <c r="E206">
        <v>0</v>
      </c>
      <c r="F206">
        <v>-4054</v>
      </c>
      <c r="G206" t="s">
        <v>17</v>
      </c>
      <c r="H206" t="s">
        <v>18</v>
      </c>
      <c r="I206" t="s">
        <v>12</v>
      </c>
    </row>
    <row r="207" spans="1:9" x14ac:dyDescent="0.3">
      <c r="A207" t="s">
        <v>4</v>
      </c>
      <c r="B207" s="1">
        <v>45766</v>
      </c>
      <c r="C207" t="s">
        <v>26</v>
      </c>
      <c r="D207">
        <v>790</v>
      </c>
      <c r="E207">
        <v>0</v>
      </c>
      <c r="F207">
        <v>-790</v>
      </c>
      <c r="G207" t="s">
        <v>26</v>
      </c>
      <c r="H207" t="s">
        <v>18</v>
      </c>
      <c r="I207" t="s">
        <v>12</v>
      </c>
    </row>
    <row r="208" spans="1:9" x14ac:dyDescent="0.3">
      <c r="A208" t="s">
        <v>4</v>
      </c>
      <c r="B208" s="1">
        <v>45767</v>
      </c>
      <c r="C208" t="s">
        <v>17</v>
      </c>
      <c r="D208">
        <v>1061</v>
      </c>
      <c r="E208">
        <v>0</v>
      </c>
      <c r="F208">
        <v>-1061</v>
      </c>
      <c r="G208" t="s">
        <v>17</v>
      </c>
      <c r="H208" t="s">
        <v>18</v>
      </c>
      <c r="I208" t="s">
        <v>12</v>
      </c>
    </row>
    <row r="209" spans="1:9" x14ac:dyDescent="0.3">
      <c r="A209" t="s">
        <v>9</v>
      </c>
      <c r="B209" s="1">
        <v>45767</v>
      </c>
      <c r="C209" t="s">
        <v>27</v>
      </c>
      <c r="D209">
        <v>510</v>
      </c>
      <c r="E209">
        <v>0</v>
      </c>
      <c r="F209">
        <v>-510</v>
      </c>
      <c r="G209" t="s">
        <v>27</v>
      </c>
      <c r="H209" t="s">
        <v>11</v>
      </c>
      <c r="I209" t="s">
        <v>12</v>
      </c>
    </row>
    <row r="210" spans="1:9" x14ac:dyDescent="0.3">
      <c r="A210" t="s">
        <v>4</v>
      </c>
      <c r="B210" s="1">
        <v>45768</v>
      </c>
      <c r="C210" t="s">
        <v>17</v>
      </c>
      <c r="D210">
        <v>776</v>
      </c>
      <c r="E210">
        <v>0</v>
      </c>
      <c r="F210">
        <v>-776</v>
      </c>
      <c r="G210" t="s">
        <v>17</v>
      </c>
      <c r="H210" t="s">
        <v>18</v>
      </c>
      <c r="I210" t="s">
        <v>12</v>
      </c>
    </row>
    <row r="211" spans="1:9" x14ac:dyDescent="0.3">
      <c r="A211" t="s">
        <v>4</v>
      </c>
      <c r="B211" s="1">
        <v>45768</v>
      </c>
      <c r="C211" t="s">
        <v>17</v>
      </c>
      <c r="D211">
        <v>3541</v>
      </c>
      <c r="E211">
        <v>0</v>
      </c>
      <c r="F211">
        <v>-3541</v>
      </c>
      <c r="G211" t="s">
        <v>17</v>
      </c>
      <c r="H211" t="s">
        <v>18</v>
      </c>
      <c r="I211" t="s">
        <v>12</v>
      </c>
    </row>
    <row r="212" spans="1:9" x14ac:dyDescent="0.3">
      <c r="A212" t="s">
        <v>4</v>
      </c>
      <c r="B212" s="1">
        <v>45769</v>
      </c>
      <c r="C212" t="s">
        <v>19</v>
      </c>
      <c r="D212">
        <v>3316</v>
      </c>
      <c r="E212">
        <v>0</v>
      </c>
      <c r="F212">
        <v>-3316</v>
      </c>
      <c r="G212" t="s">
        <v>19</v>
      </c>
      <c r="H212" t="s">
        <v>16</v>
      </c>
      <c r="I212" t="s">
        <v>12</v>
      </c>
    </row>
    <row r="213" spans="1:9" x14ac:dyDescent="0.3">
      <c r="A213" t="s">
        <v>4</v>
      </c>
      <c r="B213" s="1">
        <v>45770</v>
      </c>
      <c r="C213" t="s">
        <v>17</v>
      </c>
      <c r="D213">
        <v>4706</v>
      </c>
      <c r="E213">
        <v>0</v>
      </c>
      <c r="F213">
        <v>-4706</v>
      </c>
      <c r="G213" t="s">
        <v>17</v>
      </c>
      <c r="H213" t="s">
        <v>18</v>
      </c>
      <c r="I213" t="s">
        <v>12</v>
      </c>
    </row>
    <row r="214" spans="1:9" x14ac:dyDescent="0.3">
      <c r="A214" t="s">
        <v>4</v>
      </c>
      <c r="B214" s="1">
        <v>45771</v>
      </c>
      <c r="C214" t="s">
        <v>10</v>
      </c>
      <c r="D214">
        <v>4706</v>
      </c>
      <c r="E214">
        <v>0</v>
      </c>
      <c r="F214">
        <v>-4706</v>
      </c>
      <c r="G214" t="s">
        <v>10</v>
      </c>
      <c r="H214" t="s">
        <v>11</v>
      </c>
      <c r="I214" t="s">
        <v>12</v>
      </c>
    </row>
    <row r="215" spans="1:9" x14ac:dyDescent="0.3">
      <c r="A215" t="s">
        <v>4</v>
      </c>
      <c r="B215" s="1">
        <v>45771</v>
      </c>
      <c r="C215" t="s">
        <v>22</v>
      </c>
      <c r="D215">
        <v>0</v>
      </c>
      <c r="E215">
        <v>40786</v>
      </c>
      <c r="F215">
        <v>40786</v>
      </c>
      <c r="G215" t="s">
        <v>22</v>
      </c>
      <c r="H215" t="s">
        <v>23</v>
      </c>
      <c r="I215" t="s">
        <v>23</v>
      </c>
    </row>
    <row r="216" spans="1:9" x14ac:dyDescent="0.3">
      <c r="A216" t="s">
        <v>4</v>
      </c>
      <c r="B216" s="1">
        <v>45771</v>
      </c>
      <c r="C216" t="s">
        <v>24</v>
      </c>
      <c r="D216">
        <v>0</v>
      </c>
      <c r="E216">
        <v>35576</v>
      </c>
      <c r="F216">
        <v>35576</v>
      </c>
      <c r="G216" t="s">
        <v>24</v>
      </c>
      <c r="H216" t="s">
        <v>23</v>
      </c>
      <c r="I216" t="s">
        <v>23</v>
      </c>
    </row>
    <row r="217" spans="1:9" x14ac:dyDescent="0.3">
      <c r="A217" t="s">
        <v>9</v>
      </c>
      <c r="B217" s="1">
        <v>45772</v>
      </c>
      <c r="C217" t="s">
        <v>27</v>
      </c>
      <c r="D217">
        <v>2973</v>
      </c>
      <c r="E217">
        <v>0</v>
      </c>
      <c r="F217">
        <v>-2973</v>
      </c>
      <c r="G217" t="s">
        <v>27</v>
      </c>
      <c r="H217" t="s">
        <v>11</v>
      </c>
      <c r="I217" t="s">
        <v>12</v>
      </c>
    </row>
    <row r="218" spans="1:9" x14ac:dyDescent="0.3">
      <c r="A218" t="s">
        <v>9</v>
      </c>
      <c r="B218" s="1">
        <v>45772</v>
      </c>
      <c r="C218" t="s">
        <v>20</v>
      </c>
      <c r="D218">
        <v>1964</v>
      </c>
      <c r="E218">
        <v>0</v>
      </c>
      <c r="F218">
        <v>-1964</v>
      </c>
      <c r="G218" t="s">
        <v>20</v>
      </c>
      <c r="H218" t="s">
        <v>21</v>
      </c>
      <c r="I218" t="s">
        <v>12</v>
      </c>
    </row>
    <row r="219" spans="1:9" x14ac:dyDescent="0.3">
      <c r="A219" t="s">
        <v>4</v>
      </c>
      <c r="B219" s="1">
        <v>45772</v>
      </c>
      <c r="C219" t="s">
        <v>17</v>
      </c>
      <c r="D219">
        <v>4368</v>
      </c>
      <c r="E219">
        <v>0</v>
      </c>
      <c r="F219">
        <v>-4368</v>
      </c>
      <c r="G219" t="s">
        <v>17</v>
      </c>
      <c r="H219" t="s">
        <v>18</v>
      </c>
      <c r="I219" t="s">
        <v>12</v>
      </c>
    </row>
    <row r="220" spans="1:9" x14ac:dyDescent="0.3">
      <c r="A220" t="s">
        <v>4</v>
      </c>
      <c r="B220" s="1">
        <v>45773</v>
      </c>
      <c r="C220" t="s">
        <v>17</v>
      </c>
      <c r="D220">
        <v>1235</v>
      </c>
      <c r="E220">
        <v>0</v>
      </c>
      <c r="F220">
        <v>-1235</v>
      </c>
      <c r="G220" t="s">
        <v>17</v>
      </c>
      <c r="H220" t="s">
        <v>18</v>
      </c>
      <c r="I220" t="s">
        <v>12</v>
      </c>
    </row>
    <row r="221" spans="1:9" x14ac:dyDescent="0.3">
      <c r="A221" t="s">
        <v>9</v>
      </c>
      <c r="B221" s="1">
        <v>45774</v>
      </c>
      <c r="C221" t="s">
        <v>19</v>
      </c>
      <c r="D221">
        <v>2012</v>
      </c>
      <c r="E221">
        <v>0</v>
      </c>
      <c r="F221">
        <v>-2012</v>
      </c>
      <c r="G221" t="s">
        <v>19</v>
      </c>
      <c r="H221" t="s">
        <v>16</v>
      </c>
      <c r="I221" t="s">
        <v>12</v>
      </c>
    </row>
    <row r="222" spans="1:9" x14ac:dyDescent="0.3">
      <c r="A222" t="s">
        <v>9</v>
      </c>
      <c r="B222" s="1">
        <v>45774</v>
      </c>
      <c r="C222" t="s">
        <v>19</v>
      </c>
      <c r="D222">
        <v>4610</v>
      </c>
      <c r="E222">
        <v>0</v>
      </c>
      <c r="F222">
        <v>-4610</v>
      </c>
      <c r="G222" t="s">
        <v>19</v>
      </c>
      <c r="H222" t="s">
        <v>16</v>
      </c>
      <c r="I222" t="s">
        <v>12</v>
      </c>
    </row>
    <row r="223" spans="1:9" x14ac:dyDescent="0.3">
      <c r="A223" t="s">
        <v>4</v>
      </c>
      <c r="B223" s="1">
        <v>45775</v>
      </c>
      <c r="C223" t="s">
        <v>15</v>
      </c>
      <c r="D223">
        <v>5268</v>
      </c>
      <c r="E223">
        <v>0</v>
      </c>
      <c r="F223">
        <v>-5268</v>
      </c>
      <c r="G223" t="s">
        <v>15</v>
      </c>
      <c r="H223" t="s">
        <v>16</v>
      </c>
      <c r="I223" t="s">
        <v>12</v>
      </c>
    </row>
    <row r="224" spans="1:9" x14ac:dyDescent="0.3">
      <c r="A224" t="s">
        <v>4</v>
      </c>
      <c r="B224" s="1">
        <v>45775</v>
      </c>
      <c r="C224" t="s">
        <v>17</v>
      </c>
      <c r="D224">
        <v>5580</v>
      </c>
      <c r="E224">
        <v>0</v>
      </c>
      <c r="F224">
        <v>-5580</v>
      </c>
      <c r="G224" t="s">
        <v>17</v>
      </c>
      <c r="H224" t="s">
        <v>18</v>
      </c>
      <c r="I224" t="s">
        <v>12</v>
      </c>
    </row>
    <row r="225" spans="1:9" x14ac:dyDescent="0.3">
      <c r="A225" t="s">
        <v>9</v>
      </c>
      <c r="B225" s="1">
        <v>45776</v>
      </c>
      <c r="C225" t="s">
        <v>22</v>
      </c>
      <c r="D225">
        <v>0</v>
      </c>
      <c r="E225">
        <v>27725</v>
      </c>
      <c r="F225">
        <v>27725</v>
      </c>
      <c r="G225" t="s">
        <v>22</v>
      </c>
      <c r="H225" t="s">
        <v>23</v>
      </c>
      <c r="I225" t="s">
        <v>23</v>
      </c>
    </row>
    <row r="226" spans="1:9" x14ac:dyDescent="0.3">
      <c r="A226" t="s">
        <v>4</v>
      </c>
      <c r="B226" s="1">
        <v>45777</v>
      </c>
      <c r="C226" t="s">
        <v>15</v>
      </c>
      <c r="D226">
        <v>5849</v>
      </c>
      <c r="E226">
        <v>0</v>
      </c>
      <c r="F226">
        <v>-5849</v>
      </c>
      <c r="G226" t="s">
        <v>15</v>
      </c>
      <c r="H226" t="s">
        <v>16</v>
      </c>
      <c r="I226" t="s">
        <v>12</v>
      </c>
    </row>
    <row r="227" spans="1:9" x14ac:dyDescent="0.3">
      <c r="A227" t="s">
        <v>4</v>
      </c>
      <c r="B227" s="1">
        <v>45778</v>
      </c>
      <c r="C227" t="s">
        <v>27</v>
      </c>
      <c r="D227">
        <v>1996</v>
      </c>
      <c r="E227">
        <v>0</v>
      </c>
      <c r="F227">
        <v>-1996</v>
      </c>
      <c r="G227" t="s">
        <v>27</v>
      </c>
      <c r="H227" t="s">
        <v>11</v>
      </c>
      <c r="I227" t="s">
        <v>12</v>
      </c>
    </row>
    <row r="228" spans="1:9" x14ac:dyDescent="0.3">
      <c r="A228" t="s">
        <v>4</v>
      </c>
      <c r="B228" s="1">
        <v>45778</v>
      </c>
      <c r="C228" t="s">
        <v>19</v>
      </c>
      <c r="D228">
        <v>2180</v>
      </c>
      <c r="E228">
        <v>0</v>
      </c>
      <c r="F228">
        <v>-2180</v>
      </c>
      <c r="G228" t="s">
        <v>19</v>
      </c>
      <c r="H228" t="s">
        <v>16</v>
      </c>
      <c r="I228" t="s">
        <v>12</v>
      </c>
    </row>
    <row r="229" spans="1:9" x14ac:dyDescent="0.3">
      <c r="A229" t="s">
        <v>4</v>
      </c>
      <c r="B229" s="1">
        <v>45779</v>
      </c>
      <c r="C229" t="s">
        <v>17</v>
      </c>
      <c r="D229">
        <v>6805</v>
      </c>
      <c r="E229">
        <v>0</v>
      </c>
      <c r="F229">
        <v>-6805</v>
      </c>
      <c r="G229" t="s">
        <v>17</v>
      </c>
      <c r="H229" t="s">
        <v>18</v>
      </c>
      <c r="I229" t="s">
        <v>12</v>
      </c>
    </row>
    <row r="230" spans="1:9" x14ac:dyDescent="0.3">
      <c r="A230" t="s">
        <v>4</v>
      </c>
      <c r="B230" s="1">
        <v>45779</v>
      </c>
      <c r="C230" t="s">
        <v>24</v>
      </c>
      <c r="D230">
        <v>0</v>
      </c>
      <c r="E230">
        <v>18776</v>
      </c>
      <c r="F230">
        <v>18776</v>
      </c>
      <c r="G230" t="s">
        <v>24</v>
      </c>
      <c r="H230" t="s">
        <v>23</v>
      </c>
      <c r="I230" t="s">
        <v>23</v>
      </c>
    </row>
    <row r="231" spans="1:9" x14ac:dyDescent="0.3">
      <c r="A231" t="s">
        <v>9</v>
      </c>
      <c r="B231" s="1">
        <v>45780</v>
      </c>
      <c r="C231" t="s">
        <v>22</v>
      </c>
      <c r="D231">
        <v>0</v>
      </c>
      <c r="E231">
        <v>29409</v>
      </c>
      <c r="F231">
        <v>29409</v>
      </c>
      <c r="G231" t="s">
        <v>22</v>
      </c>
      <c r="H231" t="s">
        <v>23</v>
      </c>
      <c r="I231" t="s">
        <v>23</v>
      </c>
    </row>
    <row r="232" spans="1:9" x14ac:dyDescent="0.3">
      <c r="A232" t="s">
        <v>9</v>
      </c>
      <c r="B232" s="1">
        <v>45780</v>
      </c>
      <c r="C232" t="s">
        <v>24</v>
      </c>
      <c r="D232">
        <v>0</v>
      </c>
      <c r="E232">
        <v>44286</v>
      </c>
      <c r="F232">
        <v>44286</v>
      </c>
      <c r="G232" t="s">
        <v>24</v>
      </c>
      <c r="H232" t="s">
        <v>23</v>
      </c>
      <c r="I232" t="s">
        <v>23</v>
      </c>
    </row>
    <row r="233" spans="1:9" x14ac:dyDescent="0.3">
      <c r="A233" t="s">
        <v>9</v>
      </c>
      <c r="B233" s="1">
        <v>45781</v>
      </c>
      <c r="C233" t="s">
        <v>26</v>
      </c>
      <c r="D233">
        <v>338</v>
      </c>
      <c r="E233">
        <v>0</v>
      </c>
      <c r="F233">
        <v>-338</v>
      </c>
      <c r="G233" t="s">
        <v>26</v>
      </c>
      <c r="H233" t="s">
        <v>18</v>
      </c>
      <c r="I233" t="s">
        <v>12</v>
      </c>
    </row>
    <row r="234" spans="1:9" x14ac:dyDescent="0.3">
      <c r="A234" t="s">
        <v>9</v>
      </c>
      <c r="B234" s="1">
        <v>45781</v>
      </c>
      <c r="C234" t="s">
        <v>15</v>
      </c>
      <c r="D234">
        <v>6860</v>
      </c>
      <c r="E234">
        <v>0</v>
      </c>
      <c r="F234">
        <v>-6860</v>
      </c>
      <c r="G234" t="s">
        <v>15</v>
      </c>
      <c r="H234" t="s">
        <v>16</v>
      </c>
      <c r="I234" t="s">
        <v>12</v>
      </c>
    </row>
    <row r="235" spans="1:9" x14ac:dyDescent="0.3">
      <c r="A235" t="s">
        <v>9</v>
      </c>
      <c r="B235" s="1">
        <v>45781</v>
      </c>
      <c r="C235" t="s">
        <v>17</v>
      </c>
      <c r="D235">
        <v>4592</v>
      </c>
      <c r="E235">
        <v>0</v>
      </c>
      <c r="F235">
        <v>-4592</v>
      </c>
      <c r="G235" t="s">
        <v>17</v>
      </c>
      <c r="H235" t="s">
        <v>18</v>
      </c>
      <c r="I235" t="s">
        <v>12</v>
      </c>
    </row>
    <row r="236" spans="1:9" x14ac:dyDescent="0.3">
      <c r="A236" t="s">
        <v>9</v>
      </c>
      <c r="B236" s="1">
        <v>45782</v>
      </c>
      <c r="C236" t="s">
        <v>24</v>
      </c>
      <c r="D236">
        <v>0</v>
      </c>
      <c r="E236">
        <v>10115</v>
      </c>
      <c r="F236">
        <v>10115</v>
      </c>
      <c r="G236" t="s">
        <v>24</v>
      </c>
      <c r="H236" t="s">
        <v>23</v>
      </c>
      <c r="I236" t="s">
        <v>23</v>
      </c>
    </row>
    <row r="237" spans="1:9" x14ac:dyDescent="0.3">
      <c r="A237" t="s">
        <v>4</v>
      </c>
      <c r="B237" s="1">
        <v>45783</v>
      </c>
      <c r="C237" t="s">
        <v>19</v>
      </c>
      <c r="D237">
        <v>764</v>
      </c>
      <c r="E237">
        <v>0</v>
      </c>
      <c r="F237">
        <v>-764</v>
      </c>
      <c r="G237" t="s">
        <v>19</v>
      </c>
      <c r="H237" t="s">
        <v>16</v>
      </c>
      <c r="I237" t="s">
        <v>12</v>
      </c>
    </row>
    <row r="238" spans="1:9" x14ac:dyDescent="0.3">
      <c r="A238" t="s">
        <v>9</v>
      </c>
      <c r="B238" s="1">
        <v>45783</v>
      </c>
      <c r="C238" t="s">
        <v>19</v>
      </c>
      <c r="D238">
        <v>5999</v>
      </c>
      <c r="E238">
        <v>0</v>
      </c>
      <c r="F238">
        <v>-5999</v>
      </c>
      <c r="G238" t="s">
        <v>19</v>
      </c>
      <c r="H238" t="s">
        <v>16</v>
      </c>
      <c r="I238" t="s">
        <v>12</v>
      </c>
    </row>
    <row r="239" spans="1:9" x14ac:dyDescent="0.3">
      <c r="A239" t="s">
        <v>4</v>
      </c>
      <c r="B239" s="1">
        <v>45784</v>
      </c>
      <c r="C239" t="s">
        <v>27</v>
      </c>
      <c r="D239">
        <v>4102</v>
      </c>
      <c r="E239">
        <v>0</v>
      </c>
      <c r="F239">
        <v>-4102</v>
      </c>
      <c r="G239" t="s">
        <v>27</v>
      </c>
      <c r="H239" t="s">
        <v>11</v>
      </c>
      <c r="I239" t="s">
        <v>12</v>
      </c>
    </row>
    <row r="240" spans="1:9" x14ac:dyDescent="0.3">
      <c r="A240" t="s">
        <v>4</v>
      </c>
      <c r="B240" s="1">
        <v>45784</v>
      </c>
      <c r="C240" t="s">
        <v>19</v>
      </c>
      <c r="D240">
        <v>1798</v>
      </c>
      <c r="E240">
        <v>0</v>
      </c>
      <c r="F240">
        <v>-1798</v>
      </c>
      <c r="G240" t="s">
        <v>19</v>
      </c>
      <c r="H240" t="s">
        <v>16</v>
      </c>
      <c r="I240" t="s">
        <v>12</v>
      </c>
    </row>
    <row r="241" spans="1:9" x14ac:dyDescent="0.3">
      <c r="A241" t="s">
        <v>4</v>
      </c>
      <c r="B241" s="1">
        <v>45785</v>
      </c>
      <c r="C241" t="s">
        <v>27</v>
      </c>
      <c r="D241">
        <v>3713</v>
      </c>
      <c r="E241">
        <v>0</v>
      </c>
      <c r="F241">
        <v>-3713</v>
      </c>
      <c r="G241" t="s">
        <v>27</v>
      </c>
      <c r="H241" t="s">
        <v>11</v>
      </c>
      <c r="I241" t="s">
        <v>12</v>
      </c>
    </row>
    <row r="242" spans="1:9" x14ac:dyDescent="0.3">
      <c r="A242" t="s">
        <v>9</v>
      </c>
      <c r="B242" s="1">
        <v>45785</v>
      </c>
      <c r="C242" t="s">
        <v>20</v>
      </c>
      <c r="D242">
        <v>1303</v>
      </c>
      <c r="E242">
        <v>0</v>
      </c>
      <c r="F242">
        <v>-1303</v>
      </c>
      <c r="G242" t="s">
        <v>20</v>
      </c>
      <c r="H242" t="s">
        <v>21</v>
      </c>
      <c r="I242" t="s">
        <v>12</v>
      </c>
    </row>
    <row r="243" spans="1:9" x14ac:dyDescent="0.3">
      <c r="A243" t="s">
        <v>4</v>
      </c>
      <c r="B243" s="1">
        <v>45785</v>
      </c>
      <c r="C243" t="s">
        <v>15</v>
      </c>
      <c r="D243">
        <v>1824</v>
      </c>
      <c r="E243">
        <v>0</v>
      </c>
      <c r="F243">
        <v>-1824</v>
      </c>
      <c r="G243" t="s">
        <v>15</v>
      </c>
      <c r="H243" t="s">
        <v>16</v>
      </c>
      <c r="I243" t="s">
        <v>12</v>
      </c>
    </row>
    <row r="244" spans="1:9" x14ac:dyDescent="0.3">
      <c r="A244" t="s">
        <v>9</v>
      </c>
      <c r="B244" s="1">
        <v>45786</v>
      </c>
      <c r="C244" t="s">
        <v>19</v>
      </c>
      <c r="D244">
        <v>557</v>
      </c>
      <c r="E244">
        <v>0</v>
      </c>
      <c r="F244">
        <v>-557</v>
      </c>
      <c r="G244" t="s">
        <v>19</v>
      </c>
      <c r="H244" t="s">
        <v>16</v>
      </c>
      <c r="I244" t="s">
        <v>12</v>
      </c>
    </row>
    <row r="245" spans="1:9" x14ac:dyDescent="0.3">
      <c r="A245" t="s">
        <v>9</v>
      </c>
      <c r="B245" s="1">
        <v>45787</v>
      </c>
      <c r="C245" t="s">
        <v>25</v>
      </c>
      <c r="D245">
        <v>0</v>
      </c>
      <c r="E245">
        <v>38927</v>
      </c>
      <c r="F245">
        <v>38927</v>
      </c>
      <c r="G245" t="s">
        <v>25</v>
      </c>
      <c r="H245" t="s">
        <v>23</v>
      </c>
      <c r="I245" t="s">
        <v>23</v>
      </c>
    </row>
    <row r="246" spans="1:9" x14ac:dyDescent="0.3">
      <c r="A246" t="s">
        <v>4</v>
      </c>
      <c r="B246" s="1">
        <v>45787</v>
      </c>
      <c r="C246" t="s">
        <v>10</v>
      </c>
      <c r="D246">
        <v>1063</v>
      </c>
      <c r="E246">
        <v>0</v>
      </c>
      <c r="F246">
        <v>-1063</v>
      </c>
      <c r="G246" t="s">
        <v>10</v>
      </c>
      <c r="H246" t="s">
        <v>11</v>
      </c>
      <c r="I246" t="s">
        <v>12</v>
      </c>
    </row>
    <row r="247" spans="1:9" x14ac:dyDescent="0.3">
      <c r="A247" t="s">
        <v>9</v>
      </c>
      <c r="B247" s="1">
        <v>45787</v>
      </c>
      <c r="C247" t="s">
        <v>24</v>
      </c>
      <c r="D247">
        <v>0</v>
      </c>
      <c r="E247">
        <v>32503</v>
      </c>
      <c r="F247">
        <v>32503</v>
      </c>
      <c r="G247" t="s">
        <v>24</v>
      </c>
      <c r="H247" t="s">
        <v>23</v>
      </c>
      <c r="I247" t="s">
        <v>23</v>
      </c>
    </row>
    <row r="248" spans="1:9" x14ac:dyDescent="0.3">
      <c r="A248" t="s">
        <v>9</v>
      </c>
      <c r="B248" s="1">
        <v>45788</v>
      </c>
      <c r="C248" t="s">
        <v>26</v>
      </c>
      <c r="D248">
        <v>1223</v>
      </c>
      <c r="E248">
        <v>0</v>
      </c>
      <c r="F248">
        <v>-1223</v>
      </c>
      <c r="G248" t="s">
        <v>26</v>
      </c>
      <c r="H248" t="s">
        <v>18</v>
      </c>
      <c r="I248" t="s">
        <v>12</v>
      </c>
    </row>
    <row r="249" spans="1:9" x14ac:dyDescent="0.3">
      <c r="A249" t="s">
        <v>9</v>
      </c>
      <c r="B249" s="1">
        <v>45788</v>
      </c>
      <c r="C249" t="s">
        <v>10</v>
      </c>
      <c r="D249">
        <v>3608</v>
      </c>
      <c r="E249">
        <v>0</v>
      </c>
      <c r="F249">
        <v>-3608</v>
      </c>
      <c r="G249" t="s">
        <v>10</v>
      </c>
      <c r="H249" t="s">
        <v>11</v>
      </c>
      <c r="I249" t="s">
        <v>12</v>
      </c>
    </row>
    <row r="250" spans="1:9" x14ac:dyDescent="0.3">
      <c r="A250" t="s">
        <v>4</v>
      </c>
      <c r="B250" s="1">
        <v>45788</v>
      </c>
      <c r="C250" t="s">
        <v>15</v>
      </c>
      <c r="D250">
        <v>6883</v>
      </c>
      <c r="E250">
        <v>0</v>
      </c>
      <c r="F250">
        <v>-6883</v>
      </c>
      <c r="G250" t="s">
        <v>15</v>
      </c>
      <c r="H250" t="s">
        <v>16</v>
      </c>
      <c r="I250" t="s">
        <v>12</v>
      </c>
    </row>
    <row r="251" spans="1:9" x14ac:dyDescent="0.3">
      <c r="A251" t="s">
        <v>9</v>
      </c>
      <c r="B251" s="1">
        <v>45789</v>
      </c>
      <c r="C251" t="s">
        <v>25</v>
      </c>
      <c r="D251">
        <v>0</v>
      </c>
      <c r="E251">
        <v>18573</v>
      </c>
      <c r="F251">
        <v>18573</v>
      </c>
      <c r="G251" t="s">
        <v>25</v>
      </c>
      <c r="H251" t="s">
        <v>23</v>
      </c>
      <c r="I251" t="s">
        <v>23</v>
      </c>
    </row>
    <row r="252" spans="1:9" x14ac:dyDescent="0.3">
      <c r="A252" t="s">
        <v>9</v>
      </c>
      <c r="B252" s="1">
        <v>45789</v>
      </c>
      <c r="C252" t="s">
        <v>24</v>
      </c>
      <c r="D252">
        <v>0</v>
      </c>
      <c r="E252">
        <v>22811</v>
      </c>
      <c r="F252">
        <v>22811</v>
      </c>
      <c r="G252" t="s">
        <v>24</v>
      </c>
      <c r="H252" t="s">
        <v>23</v>
      </c>
      <c r="I252" t="s">
        <v>23</v>
      </c>
    </row>
    <row r="253" spans="1:9" x14ac:dyDescent="0.3">
      <c r="A253" t="s">
        <v>4</v>
      </c>
      <c r="B253" s="1">
        <v>45790</v>
      </c>
      <c r="C253" t="s">
        <v>20</v>
      </c>
      <c r="D253">
        <v>5524</v>
      </c>
      <c r="E253">
        <v>0</v>
      </c>
      <c r="F253">
        <v>-5524</v>
      </c>
      <c r="G253" t="s">
        <v>20</v>
      </c>
      <c r="H253" t="s">
        <v>21</v>
      </c>
      <c r="I253" t="s">
        <v>12</v>
      </c>
    </row>
    <row r="254" spans="1:9" x14ac:dyDescent="0.3">
      <c r="A254" t="s">
        <v>9</v>
      </c>
      <c r="B254" s="1">
        <v>45790</v>
      </c>
      <c r="C254" t="s">
        <v>10</v>
      </c>
      <c r="D254">
        <v>3382</v>
      </c>
      <c r="E254">
        <v>0</v>
      </c>
      <c r="F254">
        <v>-3382</v>
      </c>
      <c r="G254" t="s">
        <v>10</v>
      </c>
      <c r="H254" t="s">
        <v>11</v>
      </c>
      <c r="I254" t="s">
        <v>12</v>
      </c>
    </row>
    <row r="255" spans="1:9" x14ac:dyDescent="0.3">
      <c r="A255" t="s">
        <v>4</v>
      </c>
      <c r="B255" s="1">
        <v>45790</v>
      </c>
      <c r="C255" t="s">
        <v>15</v>
      </c>
      <c r="D255">
        <v>5680</v>
      </c>
      <c r="E255">
        <v>0</v>
      </c>
      <c r="F255">
        <v>-5680</v>
      </c>
      <c r="G255" t="s">
        <v>15</v>
      </c>
      <c r="H255" t="s">
        <v>16</v>
      </c>
      <c r="I255" t="s">
        <v>12</v>
      </c>
    </row>
    <row r="256" spans="1:9" x14ac:dyDescent="0.3">
      <c r="A256" t="s">
        <v>4</v>
      </c>
      <c r="B256" s="1">
        <v>45791</v>
      </c>
      <c r="C256" t="s">
        <v>20</v>
      </c>
      <c r="D256">
        <v>4748</v>
      </c>
      <c r="E256">
        <v>0</v>
      </c>
      <c r="F256">
        <v>-4748</v>
      </c>
      <c r="G256" t="s">
        <v>20</v>
      </c>
      <c r="H256" t="s">
        <v>21</v>
      </c>
      <c r="I256" t="s">
        <v>12</v>
      </c>
    </row>
    <row r="257" spans="1:9" x14ac:dyDescent="0.3">
      <c r="A257" t="s">
        <v>4</v>
      </c>
      <c r="B257" s="1">
        <v>45791</v>
      </c>
      <c r="C257" t="s">
        <v>15</v>
      </c>
      <c r="D257">
        <v>487</v>
      </c>
      <c r="E257">
        <v>0</v>
      </c>
      <c r="F257">
        <v>-487</v>
      </c>
      <c r="G257" t="s">
        <v>15</v>
      </c>
      <c r="H257" t="s">
        <v>16</v>
      </c>
      <c r="I257" t="s">
        <v>12</v>
      </c>
    </row>
    <row r="258" spans="1:9" x14ac:dyDescent="0.3">
      <c r="A258" t="s">
        <v>4</v>
      </c>
      <c r="B258" s="1">
        <v>45792</v>
      </c>
      <c r="C258" t="s">
        <v>22</v>
      </c>
      <c r="D258">
        <v>0</v>
      </c>
      <c r="E258">
        <v>16106</v>
      </c>
      <c r="F258">
        <v>16106</v>
      </c>
      <c r="G258" t="s">
        <v>22</v>
      </c>
      <c r="H258" t="s">
        <v>23</v>
      </c>
      <c r="I258" t="s">
        <v>23</v>
      </c>
    </row>
    <row r="259" spans="1:9" x14ac:dyDescent="0.3">
      <c r="A259" t="s">
        <v>9</v>
      </c>
      <c r="B259" s="1">
        <v>45792</v>
      </c>
      <c r="C259" t="s">
        <v>13</v>
      </c>
      <c r="D259">
        <v>6330</v>
      </c>
      <c r="E259">
        <v>0</v>
      </c>
      <c r="F259">
        <v>-6330</v>
      </c>
      <c r="G259" t="s">
        <v>13</v>
      </c>
      <c r="H259" t="s">
        <v>14</v>
      </c>
      <c r="I259" t="s">
        <v>12</v>
      </c>
    </row>
    <row r="260" spans="1:9" x14ac:dyDescent="0.3">
      <c r="A260" t="s">
        <v>4</v>
      </c>
      <c r="B260" s="1">
        <v>45792</v>
      </c>
      <c r="C260" t="s">
        <v>27</v>
      </c>
      <c r="D260">
        <v>775</v>
      </c>
      <c r="E260">
        <v>0</v>
      </c>
      <c r="F260">
        <v>-775</v>
      </c>
      <c r="G260" t="s">
        <v>27</v>
      </c>
      <c r="H260" t="s">
        <v>11</v>
      </c>
      <c r="I260" t="s">
        <v>12</v>
      </c>
    </row>
    <row r="261" spans="1:9" x14ac:dyDescent="0.3">
      <c r="A261" t="s">
        <v>9</v>
      </c>
      <c r="B261" s="1">
        <v>45793</v>
      </c>
      <c r="C261" t="s">
        <v>27</v>
      </c>
      <c r="D261">
        <v>4553</v>
      </c>
      <c r="E261">
        <v>0</v>
      </c>
      <c r="F261">
        <v>-4553</v>
      </c>
      <c r="G261" t="s">
        <v>27</v>
      </c>
      <c r="H261" t="s">
        <v>11</v>
      </c>
      <c r="I261" t="s">
        <v>12</v>
      </c>
    </row>
    <row r="262" spans="1:9" x14ac:dyDescent="0.3">
      <c r="A262" t="s">
        <v>4</v>
      </c>
      <c r="B262" s="1">
        <v>45793</v>
      </c>
      <c r="C262" t="s">
        <v>27</v>
      </c>
      <c r="D262">
        <v>5988</v>
      </c>
      <c r="E262">
        <v>0</v>
      </c>
      <c r="F262">
        <v>-5988</v>
      </c>
      <c r="G262" t="s">
        <v>27</v>
      </c>
      <c r="H262" t="s">
        <v>11</v>
      </c>
      <c r="I262" t="s">
        <v>12</v>
      </c>
    </row>
    <row r="263" spans="1:9" x14ac:dyDescent="0.3">
      <c r="A263" t="s">
        <v>9</v>
      </c>
      <c r="B263" s="1">
        <v>45794</v>
      </c>
      <c r="C263" t="s">
        <v>13</v>
      </c>
      <c r="D263">
        <v>2132</v>
      </c>
      <c r="E263">
        <v>0</v>
      </c>
      <c r="F263">
        <v>-2132</v>
      </c>
      <c r="G263" t="s">
        <v>13</v>
      </c>
      <c r="H263" t="s">
        <v>14</v>
      </c>
      <c r="I263" t="s">
        <v>12</v>
      </c>
    </row>
    <row r="264" spans="1:9" x14ac:dyDescent="0.3">
      <c r="A264" t="s">
        <v>4</v>
      </c>
      <c r="B264" s="1">
        <v>45795</v>
      </c>
      <c r="C264" t="s">
        <v>24</v>
      </c>
      <c r="D264">
        <v>0</v>
      </c>
      <c r="E264">
        <v>9709</v>
      </c>
      <c r="F264">
        <v>9709</v>
      </c>
      <c r="G264" t="s">
        <v>24</v>
      </c>
      <c r="H264" t="s">
        <v>23</v>
      </c>
      <c r="I264" t="s">
        <v>23</v>
      </c>
    </row>
    <row r="265" spans="1:9" x14ac:dyDescent="0.3">
      <c r="A265" t="s">
        <v>9</v>
      </c>
      <c r="B265" s="1">
        <v>45796</v>
      </c>
      <c r="C265" t="s">
        <v>13</v>
      </c>
      <c r="D265">
        <v>972</v>
      </c>
      <c r="E265">
        <v>0</v>
      </c>
      <c r="F265">
        <v>-972</v>
      </c>
      <c r="G265" t="s">
        <v>13</v>
      </c>
      <c r="H265" t="s">
        <v>14</v>
      </c>
      <c r="I265" t="s">
        <v>12</v>
      </c>
    </row>
    <row r="266" spans="1:9" x14ac:dyDescent="0.3">
      <c r="A266" t="s">
        <v>9</v>
      </c>
      <c r="B266" s="1">
        <v>45796</v>
      </c>
      <c r="C266" t="s">
        <v>25</v>
      </c>
      <c r="D266">
        <v>0</v>
      </c>
      <c r="E266">
        <v>20436</v>
      </c>
      <c r="F266">
        <v>20436</v>
      </c>
      <c r="G266" t="s">
        <v>25</v>
      </c>
      <c r="H266" t="s">
        <v>23</v>
      </c>
      <c r="I266" t="s">
        <v>23</v>
      </c>
    </row>
    <row r="267" spans="1:9" x14ac:dyDescent="0.3">
      <c r="A267" t="s">
        <v>9</v>
      </c>
      <c r="B267" s="1">
        <v>45797</v>
      </c>
      <c r="C267" t="s">
        <v>25</v>
      </c>
      <c r="D267">
        <v>0</v>
      </c>
      <c r="E267">
        <v>11165</v>
      </c>
      <c r="F267">
        <v>11165</v>
      </c>
      <c r="G267" t="s">
        <v>25</v>
      </c>
      <c r="H267" t="s">
        <v>23</v>
      </c>
      <c r="I267" t="s">
        <v>23</v>
      </c>
    </row>
    <row r="268" spans="1:9" x14ac:dyDescent="0.3">
      <c r="A268" t="s">
        <v>9</v>
      </c>
      <c r="B268" s="1">
        <v>45797</v>
      </c>
      <c r="C268" t="s">
        <v>25</v>
      </c>
      <c r="D268">
        <v>0</v>
      </c>
      <c r="E268">
        <v>36398</v>
      </c>
      <c r="F268">
        <v>36398</v>
      </c>
      <c r="G268" t="s">
        <v>25</v>
      </c>
      <c r="H268" t="s">
        <v>23</v>
      </c>
      <c r="I268" t="s">
        <v>23</v>
      </c>
    </row>
    <row r="269" spans="1:9" x14ac:dyDescent="0.3">
      <c r="A269" t="s">
        <v>9</v>
      </c>
      <c r="B269" s="1">
        <v>45797</v>
      </c>
      <c r="C269" t="s">
        <v>10</v>
      </c>
      <c r="D269">
        <v>6292</v>
      </c>
      <c r="E269">
        <v>0</v>
      </c>
      <c r="F269">
        <v>-6292</v>
      </c>
      <c r="G269" t="s">
        <v>10</v>
      </c>
      <c r="H269" t="s">
        <v>11</v>
      </c>
      <c r="I269" t="s">
        <v>12</v>
      </c>
    </row>
    <row r="270" spans="1:9" x14ac:dyDescent="0.3">
      <c r="A270" t="s">
        <v>9</v>
      </c>
      <c r="B270" s="1">
        <v>45798</v>
      </c>
      <c r="C270" t="s">
        <v>10</v>
      </c>
      <c r="D270">
        <v>1059</v>
      </c>
      <c r="E270">
        <v>0</v>
      </c>
      <c r="F270">
        <v>-1059</v>
      </c>
      <c r="G270" t="s">
        <v>10</v>
      </c>
      <c r="H270" t="s">
        <v>11</v>
      </c>
      <c r="I270" t="s">
        <v>12</v>
      </c>
    </row>
    <row r="271" spans="1:9" x14ac:dyDescent="0.3">
      <c r="A271" t="s">
        <v>4</v>
      </c>
      <c r="B271" s="1">
        <v>45798</v>
      </c>
      <c r="C271" t="s">
        <v>27</v>
      </c>
      <c r="D271">
        <v>4493</v>
      </c>
      <c r="E271">
        <v>0</v>
      </c>
      <c r="F271">
        <v>-4493</v>
      </c>
      <c r="G271" t="s">
        <v>27</v>
      </c>
      <c r="H271" t="s">
        <v>11</v>
      </c>
      <c r="I271" t="s">
        <v>12</v>
      </c>
    </row>
    <row r="272" spans="1:9" x14ac:dyDescent="0.3">
      <c r="A272" t="s">
        <v>9</v>
      </c>
      <c r="B272" s="1">
        <v>45799</v>
      </c>
      <c r="C272" t="s">
        <v>10</v>
      </c>
      <c r="D272">
        <v>3719</v>
      </c>
      <c r="E272">
        <v>0</v>
      </c>
      <c r="F272">
        <v>-3719</v>
      </c>
      <c r="G272" t="s">
        <v>10</v>
      </c>
      <c r="H272" t="s">
        <v>11</v>
      </c>
      <c r="I272" t="s">
        <v>12</v>
      </c>
    </row>
    <row r="273" spans="1:9" x14ac:dyDescent="0.3">
      <c r="A273" t="s">
        <v>4</v>
      </c>
      <c r="B273" s="1">
        <v>45799</v>
      </c>
      <c r="C273" t="s">
        <v>13</v>
      </c>
      <c r="D273">
        <v>4923</v>
      </c>
      <c r="E273">
        <v>0</v>
      </c>
      <c r="F273">
        <v>-4923</v>
      </c>
      <c r="G273" t="s">
        <v>13</v>
      </c>
      <c r="H273" t="s">
        <v>14</v>
      </c>
      <c r="I273" t="s">
        <v>12</v>
      </c>
    </row>
    <row r="274" spans="1:9" x14ac:dyDescent="0.3">
      <c r="A274" t="s">
        <v>4</v>
      </c>
      <c r="B274" s="1">
        <v>45800</v>
      </c>
      <c r="C274" t="s">
        <v>13</v>
      </c>
      <c r="D274">
        <v>6431</v>
      </c>
      <c r="E274">
        <v>0</v>
      </c>
      <c r="F274">
        <v>-6431</v>
      </c>
      <c r="G274" t="s">
        <v>13</v>
      </c>
      <c r="H274" t="s">
        <v>14</v>
      </c>
      <c r="I274" t="s">
        <v>12</v>
      </c>
    </row>
    <row r="275" spans="1:9" x14ac:dyDescent="0.3">
      <c r="A275" t="s">
        <v>9</v>
      </c>
      <c r="B275" s="1">
        <v>45801</v>
      </c>
      <c r="C275" t="s">
        <v>22</v>
      </c>
      <c r="D275">
        <v>0</v>
      </c>
      <c r="E275">
        <v>39483</v>
      </c>
      <c r="F275">
        <v>39483</v>
      </c>
      <c r="G275" t="s">
        <v>22</v>
      </c>
      <c r="H275" t="s">
        <v>23</v>
      </c>
      <c r="I275" t="s">
        <v>23</v>
      </c>
    </row>
    <row r="276" spans="1:9" x14ac:dyDescent="0.3">
      <c r="A276" t="s">
        <v>4</v>
      </c>
      <c r="B276" s="1">
        <v>45801</v>
      </c>
      <c r="C276" t="s">
        <v>15</v>
      </c>
      <c r="D276">
        <v>2615</v>
      </c>
      <c r="E276">
        <v>0</v>
      </c>
      <c r="F276">
        <v>-2615</v>
      </c>
      <c r="G276" t="s">
        <v>15</v>
      </c>
      <c r="H276" t="s">
        <v>16</v>
      </c>
      <c r="I276" t="s">
        <v>12</v>
      </c>
    </row>
    <row r="277" spans="1:9" x14ac:dyDescent="0.3">
      <c r="A277" t="s">
        <v>4</v>
      </c>
      <c r="B277" s="1">
        <v>45802</v>
      </c>
      <c r="C277" t="s">
        <v>27</v>
      </c>
      <c r="D277">
        <v>6471</v>
      </c>
      <c r="E277">
        <v>0</v>
      </c>
      <c r="F277">
        <v>-6471</v>
      </c>
      <c r="G277" t="s">
        <v>27</v>
      </c>
      <c r="H277" t="s">
        <v>11</v>
      </c>
      <c r="I277" t="s">
        <v>12</v>
      </c>
    </row>
    <row r="278" spans="1:9" x14ac:dyDescent="0.3">
      <c r="A278" t="s">
        <v>9</v>
      </c>
      <c r="B278" s="1">
        <v>45802</v>
      </c>
      <c r="C278" t="s">
        <v>26</v>
      </c>
      <c r="D278">
        <v>3229</v>
      </c>
      <c r="E278">
        <v>0</v>
      </c>
      <c r="F278">
        <v>-3229</v>
      </c>
      <c r="G278" t="s">
        <v>26</v>
      </c>
      <c r="H278" t="s">
        <v>18</v>
      </c>
      <c r="I278" t="s">
        <v>12</v>
      </c>
    </row>
    <row r="279" spans="1:9" x14ac:dyDescent="0.3">
      <c r="A279" t="s">
        <v>9</v>
      </c>
      <c r="B279" s="1">
        <v>45802</v>
      </c>
      <c r="C279" t="s">
        <v>10</v>
      </c>
      <c r="D279">
        <v>511</v>
      </c>
      <c r="E279">
        <v>0</v>
      </c>
      <c r="F279">
        <v>-511</v>
      </c>
      <c r="G279" t="s">
        <v>10</v>
      </c>
      <c r="H279" t="s">
        <v>11</v>
      </c>
      <c r="I279" t="s">
        <v>12</v>
      </c>
    </row>
    <row r="280" spans="1:9" x14ac:dyDescent="0.3">
      <c r="A280" t="s">
        <v>4</v>
      </c>
      <c r="B280" s="1">
        <v>45803</v>
      </c>
      <c r="C280" t="s">
        <v>15</v>
      </c>
      <c r="D280">
        <v>3413</v>
      </c>
      <c r="E280">
        <v>0</v>
      </c>
      <c r="F280">
        <v>-3413</v>
      </c>
      <c r="G280" t="s">
        <v>15</v>
      </c>
      <c r="H280" t="s">
        <v>16</v>
      </c>
      <c r="I280" t="s">
        <v>12</v>
      </c>
    </row>
    <row r="281" spans="1:9" x14ac:dyDescent="0.3">
      <c r="A281" t="s">
        <v>4</v>
      </c>
      <c r="B281" s="1">
        <v>45803</v>
      </c>
      <c r="C281" t="s">
        <v>20</v>
      </c>
      <c r="D281">
        <v>6877</v>
      </c>
      <c r="E281">
        <v>0</v>
      </c>
      <c r="F281">
        <v>-6877</v>
      </c>
      <c r="G281" t="s">
        <v>20</v>
      </c>
      <c r="H281" t="s">
        <v>21</v>
      </c>
      <c r="I281" t="s">
        <v>12</v>
      </c>
    </row>
    <row r="282" spans="1:9" x14ac:dyDescent="0.3">
      <c r="A282" t="s">
        <v>9</v>
      </c>
      <c r="B282" s="1">
        <v>45803</v>
      </c>
      <c r="C282" t="s">
        <v>17</v>
      </c>
      <c r="D282">
        <v>6274</v>
      </c>
      <c r="E282">
        <v>0</v>
      </c>
      <c r="F282">
        <v>-6274</v>
      </c>
      <c r="G282" t="s">
        <v>17</v>
      </c>
      <c r="H282" t="s">
        <v>18</v>
      </c>
      <c r="I282" t="s">
        <v>12</v>
      </c>
    </row>
    <row r="283" spans="1:9" x14ac:dyDescent="0.3">
      <c r="A283" t="s">
        <v>9</v>
      </c>
      <c r="B283" s="1">
        <v>45804</v>
      </c>
      <c r="C283" t="s">
        <v>19</v>
      </c>
      <c r="D283">
        <v>2133</v>
      </c>
      <c r="E283">
        <v>0</v>
      </c>
      <c r="F283">
        <v>-2133</v>
      </c>
      <c r="G283" t="s">
        <v>19</v>
      </c>
      <c r="H283" t="s">
        <v>16</v>
      </c>
      <c r="I283" t="s">
        <v>12</v>
      </c>
    </row>
    <row r="284" spans="1:9" x14ac:dyDescent="0.3">
      <c r="A284" t="s">
        <v>9</v>
      </c>
      <c r="B284" s="1">
        <v>45804</v>
      </c>
      <c r="C284" t="s">
        <v>25</v>
      </c>
      <c r="D284">
        <v>0</v>
      </c>
      <c r="E284">
        <v>5560</v>
      </c>
      <c r="F284">
        <v>5560</v>
      </c>
      <c r="G284" t="s">
        <v>25</v>
      </c>
      <c r="H284" t="s">
        <v>23</v>
      </c>
      <c r="I284" t="s">
        <v>23</v>
      </c>
    </row>
    <row r="285" spans="1:9" x14ac:dyDescent="0.3">
      <c r="A285" t="s">
        <v>4</v>
      </c>
      <c r="B285" s="1">
        <v>45805</v>
      </c>
      <c r="C285" t="s">
        <v>22</v>
      </c>
      <c r="D285">
        <v>0</v>
      </c>
      <c r="E285">
        <v>12333</v>
      </c>
      <c r="F285">
        <v>12333</v>
      </c>
      <c r="G285" t="s">
        <v>22</v>
      </c>
      <c r="H285" t="s">
        <v>23</v>
      </c>
      <c r="I285" t="s">
        <v>23</v>
      </c>
    </row>
    <row r="286" spans="1:9" x14ac:dyDescent="0.3">
      <c r="A286" t="s">
        <v>4</v>
      </c>
      <c r="B286" s="1">
        <v>45805</v>
      </c>
      <c r="C286" t="s">
        <v>26</v>
      </c>
      <c r="D286">
        <v>4948</v>
      </c>
      <c r="E286">
        <v>0</v>
      </c>
      <c r="F286">
        <v>-4948</v>
      </c>
      <c r="G286" t="s">
        <v>26</v>
      </c>
      <c r="H286" t="s">
        <v>18</v>
      </c>
      <c r="I286" t="s">
        <v>12</v>
      </c>
    </row>
    <row r="287" spans="1:9" x14ac:dyDescent="0.3">
      <c r="A287" t="s">
        <v>4</v>
      </c>
      <c r="B287" s="1">
        <v>45805</v>
      </c>
      <c r="C287" t="s">
        <v>20</v>
      </c>
      <c r="D287">
        <v>998</v>
      </c>
      <c r="E287">
        <v>0</v>
      </c>
      <c r="F287">
        <v>-998</v>
      </c>
      <c r="G287" t="s">
        <v>20</v>
      </c>
      <c r="H287" t="s">
        <v>21</v>
      </c>
      <c r="I287" t="s">
        <v>12</v>
      </c>
    </row>
    <row r="288" spans="1:9" x14ac:dyDescent="0.3">
      <c r="A288" t="s">
        <v>4</v>
      </c>
      <c r="B288" s="1">
        <v>45806</v>
      </c>
      <c r="C288" t="s">
        <v>15</v>
      </c>
      <c r="D288">
        <v>4993</v>
      </c>
      <c r="E288">
        <v>0</v>
      </c>
      <c r="F288">
        <v>-4993</v>
      </c>
      <c r="G288" t="s">
        <v>15</v>
      </c>
      <c r="H288" t="s">
        <v>16</v>
      </c>
      <c r="I288" t="s">
        <v>12</v>
      </c>
    </row>
    <row r="289" spans="1:9" x14ac:dyDescent="0.3">
      <c r="A289" t="s">
        <v>9</v>
      </c>
      <c r="B289" s="1">
        <v>45806</v>
      </c>
      <c r="C289" t="s">
        <v>20</v>
      </c>
      <c r="D289">
        <v>2878</v>
      </c>
      <c r="E289">
        <v>0</v>
      </c>
      <c r="F289">
        <v>-2878</v>
      </c>
      <c r="G289" t="s">
        <v>20</v>
      </c>
      <c r="H289" t="s">
        <v>21</v>
      </c>
      <c r="I289" t="s">
        <v>12</v>
      </c>
    </row>
    <row r="290" spans="1:9" x14ac:dyDescent="0.3">
      <c r="A290" t="s">
        <v>9</v>
      </c>
      <c r="B290" s="1">
        <v>45807</v>
      </c>
      <c r="C290" t="s">
        <v>22</v>
      </c>
      <c r="D290">
        <v>0</v>
      </c>
      <c r="E290">
        <v>40501</v>
      </c>
      <c r="F290">
        <v>40501</v>
      </c>
      <c r="G290" t="s">
        <v>22</v>
      </c>
      <c r="H290" t="s">
        <v>23</v>
      </c>
      <c r="I290" t="s">
        <v>23</v>
      </c>
    </row>
    <row r="291" spans="1:9" x14ac:dyDescent="0.3">
      <c r="A291" t="s">
        <v>9</v>
      </c>
      <c r="B291" s="1">
        <v>45807</v>
      </c>
      <c r="C291" t="s">
        <v>15</v>
      </c>
      <c r="D291">
        <v>1130</v>
      </c>
      <c r="E291">
        <v>0</v>
      </c>
      <c r="F291">
        <v>-1130</v>
      </c>
      <c r="G291" t="s">
        <v>15</v>
      </c>
      <c r="H291" t="s">
        <v>16</v>
      </c>
      <c r="I291" t="s">
        <v>12</v>
      </c>
    </row>
    <row r="292" spans="1:9" x14ac:dyDescent="0.3">
      <c r="A292" t="s">
        <v>9</v>
      </c>
      <c r="B292" s="1">
        <v>45808</v>
      </c>
      <c r="C292" t="s">
        <v>15</v>
      </c>
      <c r="D292">
        <v>6704</v>
      </c>
      <c r="E292">
        <v>0</v>
      </c>
      <c r="F292">
        <v>-6704</v>
      </c>
      <c r="G292" t="s">
        <v>15</v>
      </c>
      <c r="H292" t="s">
        <v>16</v>
      </c>
      <c r="I292" t="s">
        <v>12</v>
      </c>
    </row>
    <row r="293" spans="1:9" x14ac:dyDescent="0.3">
      <c r="A293" t="s">
        <v>9</v>
      </c>
      <c r="B293" s="1">
        <v>45808</v>
      </c>
      <c r="C293" t="s">
        <v>25</v>
      </c>
      <c r="D293">
        <v>0</v>
      </c>
      <c r="E293">
        <v>22501</v>
      </c>
      <c r="F293">
        <v>22501</v>
      </c>
      <c r="G293" t="s">
        <v>25</v>
      </c>
      <c r="H293" t="s">
        <v>23</v>
      </c>
      <c r="I293" t="s">
        <v>23</v>
      </c>
    </row>
    <row r="294" spans="1:9" x14ac:dyDescent="0.3">
      <c r="A294" t="s">
        <v>4</v>
      </c>
      <c r="B294" s="1">
        <v>45808</v>
      </c>
      <c r="C294" t="s">
        <v>10</v>
      </c>
      <c r="D294">
        <v>5625</v>
      </c>
      <c r="E294">
        <v>0</v>
      </c>
      <c r="F294">
        <v>-5625</v>
      </c>
      <c r="G294" t="s">
        <v>10</v>
      </c>
      <c r="H294" t="s">
        <v>11</v>
      </c>
      <c r="I294" t="s">
        <v>12</v>
      </c>
    </row>
    <row r="295" spans="1:9" x14ac:dyDescent="0.3">
      <c r="A295" t="s">
        <v>4</v>
      </c>
      <c r="B295" s="1">
        <v>45809</v>
      </c>
      <c r="C295" t="s">
        <v>22</v>
      </c>
      <c r="D295">
        <v>0</v>
      </c>
      <c r="E295">
        <v>18999</v>
      </c>
      <c r="F295">
        <v>18999</v>
      </c>
      <c r="G295" t="s">
        <v>22</v>
      </c>
      <c r="H295" t="s">
        <v>23</v>
      </c>
      <c r="I295" t="s">
        <v>23</v>
      </c>
    </row>
    <row r="296" spans="1:9" x14ac:dyDescent="0.3">
      <c r="A296" t="s">
        <v>9</v>
      </c>
      <c r="B296" s="1">
        <v>45810</v>
      </c>
      <c r="C296" t="s">
        <v>15</v>
      </c>
      <c r="D296">
        <v>1111</v>
      </c>
      <c r="E296">
        <v>0</v>
      </c>
      <c r="F296">
        <v>-1111</v>
      </c>
      <c r="G296" t="s">
        <v>15</v>
      </c>
      <c r="H296" t="s">
        <v>16</v>
      </c>
      <c r="I296" t="s">
        <v>12</v>
      </c>
    </row>
    <row r="297" spans="1:9" x14ac:dyDescent="0.3">
      <c r="A297" t="s">
        <v>4</v>
      </c>
      <c r="B297" s="1">
        <v>45810</v>
      </c>
      <c r="C297" t="s">
        <v>22</v>
      </c>
      <c r="D297">
        <v>0</v>
      </c>
      <c r="E297">
        <v>27010</v>
      </c>
      <c r="F297">
        <v>27010</v>
      </c>
      <c r="G297" t="s">
        <v>22</v>
      </c>
      <c r="H297" t="s">
        <v>23</v>
      </c>
      <c r="I297" t="s">
        <v>23</v>
      </c>
    </row>
    <row r="298" spans="1:9" x14ac:dyDescent="0.3">
      <c r="A298" t="s">
        <v>9</v>
      </c>
      <c r="B298" s="1">
        <v>45810</v>
      </c>
      <c r="C298" t="s">
        <v>17</v>
      </c>
      <c r="D298">
        <v>4501</v>
      </c>
      <c r="E298">
        <v>0</v>
      </c>
      <c r="F298">
        <v>-4501</v>
      </c>
      <c r="G298" t="s">
        <v>17</v>
      </c>
      <c r="H298" t="s">
        <v>18</v>
      </c>
      <c r="I298" t="s">
        <v>12</v>
      </c>
    </row>
    <row r="299" spans="1:9" x14ac:dyDescent="0.3">
      <c r="A299" t="s">
        <v>4</v>
      </c>
      <c r="B299" s="1">
        <v>45811</v>
      </c>
      <c r="C299" t="s">
        <v>15</v>
      </c>
      <c r="D299">
        <v>6170</v>
      </c>
      <c r="E299">
        <v>0</v>
      </c>
      <c r="F299">
        <v>-6170</v>
      </c>
      <c r="G299" t="s">
        <v>15</v>
      </c>
      <c r="H299" t="s">
        <v>16</v>
      </c>
      <c r="I299" t="s">
        <v>12</v>
      </c>
    </row>
    <row r="300" spans="1:9" x14ac:dyDescent="0.3">
      <c r="A300" t="s">
        <v>9</v>
      </c>
      <c r="B300" s="1">
        <v>45811</v>
      </c>
      <c r="C300" t="s">
        <v>15</v>
      </c>
      <c r="D300">
        <v>2582</v>
      </c>
      <c r="E300">
        <v>0</v>
      </c>
      <c r="F300">
        <v>-2582</v>
      </c>
      <c r="G300" t="s">
        <v>15</v>
      </c>
      <c r="H300" t="s">
        <v>16</v>
      </c>
      <c r="I300" t="s">
        <v>12</v>
      </c>
    </row>
    <row r="301" spans="1:9" x14ac:dyDescent="0.3">
      <c r="A301" t="s">
        <v>9</v>
      </c>
      <c r="B301" s="1">
        <v>45812</v>
      </c>
      <c r="C301" t="s">
        <v>20</v>
      </c>
      <c r="D301">
        <v>6860</v>
      </c>
      <c r="E301">
        <v>0</v>
      </c>
      <c r="F301">
        <v>-6860</v>
      </c>
      <c r="G301" t="s">
        <v>20</v>
      </c>
      <c r="H301" t="s">
        <v>21</v>
      </c>
      <c r="I301" t="s">
        <v>12</v>
      </c>
    </row>
    <row r="302" spans="1:9" x14ac:dyDescent="0.3">
      <c r="A302" t="s">
        <v>4</v>
      </c>
      <c r="B302" s="1">
        <v>45813</v>
      </c>
      <c r="C302" t="s">
        <v>20</v>
      </c>
      <c r="D302">
        <v>4038</v>
      </c>
      <c r="E302">
        <v>0</v>
      </c>
      <c r="F302">
        <v>-4038</v>
      </c>
      <c r="G302" t="s">
        <v>20</v>
      </c>
      <c r="H302" t="s">
        <v>21</v>
      </c>
      <c r="I302" t="s">
        <v>12</v>
      </c>
    </row>
    <row r="303" spans="1:9" x14ac:dyDescent="0.3">
      <c r="A303" t="s">
        <v>4</v>
      </c>
      <c r="B303" s="1">
        <v>45813</v>
      </c>
      <c r="C303" t="s">
        <v>25</v>
      </c>
      <c r="D303">
        <v>0</v>
      </c>
      <c r="E303">
        <v>38267</v>
      </c>
      <c r="F303">
        <v>38267</v>
      </c>
      <c r="G303" t="s">
        <v>25</v>
      </c>
      <c r="H303" t="s">
        <v>23</v>
      </c>
      <c r="I303" t="s">
        <v>23</v>
      </c>
    </row>
    <row r="304" spans="1:9" x14ac:dyDescent="0.3">
      <c r="A304" t="s">
        <v>4</v>
      </c>
      <c r="B304" s="1">
        <v>45814</v>
      </c>
      <c r="C304" t="s">
        <v>27</v>
      </c>
      <c r="D304">
        <v>5132</v>
      </c>
      <c r="E304">
        <v>0</v>
      </c>
      <c r="F304">
        <v>-5132</v>
      </c>
      <c r="G304" t="s">
        <v>27</v>
      </c>
      <c r="H304" t="s">
        <v>11</v>
      </c>
      <c r="I304" t="s">
        <v>12</v>
      </c>
    </row>
    <row r="305" spans="1:9" x14ac:dyDescent="0.3">
      <c r="A305" t="s">
        <v>9</v>
      </c>
      <c r="B305" s="1">
        <v>45815</v>
      </c>
      <c r="C305" t="s">
        <v>26</v>
      </c>
      <c r="D305">
        <v>1763</v>
      </c>
      <c r="E305">
        <v>0</v>
      </c>
      <c r="F305">
        <v>-1763</v>
      </c>
      <c r="G305" t="s">
        <v>26</v>
      </c>
      <c r="H305" t="s">
        <v>18</v>
      </c>
      <c r="I305" t="s">
        <v>12</v>
      </c>
    </row>
    <row r="306" spans="1:9" x14ac:dyDescent="0.3">
      <c r="A306" t="s">
        <v>4</v>
      </c>
      <c r="B306" s="1">
        <v>45816</v>
      </c>
      <c r="C306" t="s">
        <v>22</v>
      </c>
      <c r="D306">
        <v>0</v>
      </c>
      <c r="E306">
        <v>33768</v>
      </c>
      <c r="F306">
        <v>33768</v>
      </c>
      <c r="G306" t="s">
        <v>22</v>
      </c>
      <c r="H306" t="s">
        <v>23</v>
      </c>
      <c r="I306" t="s">
        <v>23</v>
      </c>
    </row>
    <row r="307" spans="1:9" x14ac:dyDescent="0.3">
      <c r="A307" t="s">
        <v>4</v>
      </c>
      <c r="B307" s="1">
        <v>45816</v>
      </c>
      <c r="C307" t="s">
        <v>27</v>
      </c>
      <c r="D307">
        <v>6029</v>
      </c>
      <c r="E307">
        <v>0</v>
      </c>
      <c r="F307">
        <v>-6029</v>
      </c>
      <c r="G307" t="s">
        <v>27</v>
      </c>
      <c r="H307" t="s">
        <v>11</v>
      </c>
      <c r="I307" t="s">
        <v>12</v>
      </c>
    </row>
    <row r="308" spans="1:9" x14ac:dyDescent="0.3">
      <c r="A308" t="s">
        <v>9</v>
      </c>
      <c r="B308" s="1">
        <v>45817</v>
      </c>
      <c r="C308" t="s">
        <v>24</v>
      </c>
      <c r="D308">
        <v>0</v>
      </c>
      <c r="E308">
        <v>41909</v>
      </c>
      <c r="F308">
        <v>41909</v>
      </c>
      <c r="G308" t="s">
        <v>24</v>
      </c>
      <c r="H308" t="s">
        <v>23</v>
      </c>
      <c r="I308" t="s">
        <v>23</v>
      </c>
    </row>
    <row r="309" spans="1:9" x14ac:dyDescent="0.3">
      <c r="A309" t="s">
        <v>4</v>
      </c>
      <c r="B309" s="1">
        <v>45817</v>
      </c>
      <c r="C309" t="s">
        <v>19</v>
      </c>
      <c r="D309">
        <v>4818</v>
      </c>
      <c r="E309">
        <v>0</v>
      </c>
      <c r="F309">
        <v>-4818</v>
      </c>
      <c r="G309" t="s">
        <v>19</v>
      </c>
      <c r="H309" t="s">
        <v>16</v>
      </c>
      <c r="I309" t="s">
        <v>12</v>
      </c>
    </row>
    <row r="310" spans="1:9" x14ac:dyDescent="0.3">
      <c r="A310" t="s">
        <v>4</v>
      </c>
      <c r="B310" s="1">
        <v>45817</v>
      </c>
      <c r="C310" t="s">
        <v>26</v>
      </c>
      <c r="D310">
        <v>5444</v>
      </c>
      <c r="E310">
        <v>0</v>
      </c>
      <c r="F310">
        <v>-5444</v>
      </c>
      <c r="G310" t="s">
        <v>26</v>
      </c>
      <c r="H310" t="s">
        <v>18</v>
      </c>
      <c r="I310" t="s">
        <v>12</v>
      </c>
    </row>
    <row r="311" spans="1:9" x14ac:dyDescent="0.3">
      <c r="A311" t="s">
        <v>4</v>
      </c>
      <c r="B311" s="1">
        <v>45818</v>
      </c>
      <c r="C311" t="s">
        <v>13</v>
      </c>
      <c r="D311">
        <v>6791</v>
      </c>
      <c r="E311">
        <v>0</v>
      </c>
      <c r="F311">
        <v>-6791</v>
      </c>
      <c r="G311" t="s">
        <v>13</v>
      </c>
      <c r="H311" t="s">
        <v>14</v>
      </c>
      <c r="I311" t="s">
        <v>12</v>
      </c>
    </row>
    <row r="312" spans="1:9" x14ac:dyDescent="0.3">
      <c r="A312" t="s">
        <v>9</v>
      </c>
      <c r="B312" s="1">
        <v>45819</v>
      </c>
      <c r="C312" t="s">
        <v>26</v>
      </c>
      <c r="D312">
        <v>4363</v>
      </c>
      <c r="E312">
        <v>0</v>
      </c>
      <c r="F312">
        <v>-4363</v>
      </c>
      <c r="G312" t="s">
        <v>26</v>
      </c>
      <c r="H312" t="s">
        <v>18</v>
      </c>
      <c r="I312" t="s">
        <v>12</v>
      </c>
    </row>
    <row r="313" spans="1:9" x14ac:dyDescent="0.3">
      <c r="A313" t="s">
        <v>4</v>
      </c>
      <c r="B313" s="1">
        <v>45820</v>
      </c>
      <c r="C313" t="s">
        <v>20</v>
      </c>
      <c r="D313">
        <v>3475</v>
      </c>
      <c r="E313">
        <v>0</v>
      </c>
      <c r="F313">
        <v>-3475</v>
      </c>
      <c r="G313" t="s">
        <v>20</v>
      </c>
      <c r="H313" t="s">
        <v>21</v>
      </c>
      <c r="I313" t="s">
        <v>12</v>
      </c>
    </row>
    <row r="314" spans="1:9" x14ac:dyDescent="0.3">
      <c r="A314" t="s">
        <v>9</v>
      </c>
      <c r="B314" s="1">
        <v>45820</v>
      </c>
      <c r="C314" t="s">
        <v>20</v>
      </c>
      <c r="D314">
        <v>5259</v>
      </c>
      <c r="E314">
        <v>0</v>
      </c>
      <c r="F314">
        <v>-5259</v>
      </c>
      <c r="G314" t="s">
        <v>20</v>
      </c>
      <c r="H314" t="s">
        <v>21</v>
      </c>
      <c r="I314" t="s">
        <v>12</v>
      </c>
    </row>
    <row r="315" spans="1:9" x14ac:dyDescent="0.3">
      <c r="A315" t="s">
        <v>9</v>
      </c>
      <c r="B315" s="1">
        <v>45821</v>
      </c>
      <c r="C315" t="s">
        <v>10</v>
      </c>
      <c r="D315">
        <v>3268</v>
      </c>
      <c r="E315">
        <v>0</v>
      </c>
      <c r="F315">
        <v>-3268</v>
      </c>
      <c r="G315" t="s">
        <v>10</v>
      </c>
      <c r="H315" t="s">
        <v>11</v>
      </c>
      <c r="I315" t="s">
        <v>12</v>
      </c>
    </row>
    <row r="316" spans="1:9" x14ac:dyDescent="0.3">
      <c r="A316" t="s">
        <v>9</v>
      </c>
      <c r="B316" s="1">
        <v>45822</v>
      </c>
      <c r="C316" t="s">
        <v>17</v>
      </c>
      <c r="D316">
        <v>5964</v>
      </c>
      <c r="E316">
        <v>0</v>
      </c>
      <c r="F316">
        <v>-5964</v>
      </c>
      <c r="G316" t="s">
        <v>17</v>
      </c>
      <c r="H316" t="s">
        <v>18</v>
      </c>
      <c r="I316" t="s">
        <v>12</v>
      </c>
    </row>
    <row r="317" spans="1:9" x14ac:dyDescent="0.3">
      <c r="A317" t="s">
        <v>4</v>
      </c>
      <c r="B317" s="1">
        <v>45823</v>
      </c>
      <c r="C317" t="s">
        <v>13</v>
      </c>
      <c r="D317">
        <v>3509</v>
      </c>
      <c r="E317">
        <v>0</v>
      </c>
      <c r="F317">
        <v>-3509</v>
      </c>
      <c r="G317" t="s">
        <v>13</v>
      </c>
      <c r="H317" t="s">
        <v>14</v>
      </c>
      <c r="I317" t="s">
        <v>12</v>
      </c>
    </row>
    <row r="318" spans="1:9" x14ac:dyDescent="0.3">
      <c r="A318" t="s">
        <v>9</v>
      </c>
      <c r="B318" s="1">
        <v>45824</v>
      </c>
      <c r="C318" t="s">
        <v>13</v>
      </c>
      <c r="D318">
        <v>3601</v>
      </c>
      <c r="E318">
        <v>0</v>
      </c>
      <c r="F318">
        <v>-3601</v>
      </c>
      <c r="G318" t="s">
        <v>13</v>
      </c>
      <c r="H318" t="s">
        <v>14</v>
      </c>
      <c r="I318" t="s">
        <v>12</v>
      </c>
    </row>
    <row r="319" spans="1:9" x14ac:dyDescent="0.3">
      <c r="A319" t="s">
        <v>4</v>
      </c>
      <c r="B319" s="1">
        <v>45824</v>
      </c>
      <c r="C319" t="s">
        <v>22</v>
      </c>
      <c r="D319">
        <v>0</v>
      </c>
      <c r="E319">
        <v>6819</v>
      </c>
      <c r="F319">
        <v>6819</v>
      </c>
      <c r="G319" t="s">
        <v>22</v>
      </c>
      <c r="H319" t="s">
        <v>23</v>
      </c>
      <c r="I319" t="s">
        <v>23</v>
      </c>
    </row>
    <row r="320" spans="1:9" x14ac:dyDescent="0.3">
      <c r="A320" t="s">
        <v>9</v>
      </c>
      <c r="B320" s="1">
        <v>45824</v>
      </c>
      <c r="C320" t="s">
        <v>15</v>
      </c>
      <c r="D320">
        <v>3721</v>
      </c>
      <c r="E320">
        <v>0</v>
      </c>
      <c r="F320">
        <v>-3721</v>
      </c>
      <c r="G320" t="s">
        <v>15</v>
      </c>
      <c r="H320" t="s">
        <v>16</v>
      </c>
      <c r="I320" t="s">
        <v>12</v>
      </c>
    </row>
    <row r="321" spans="1:9" x14ac:dyDescent="0.3">
      <c r="A321" t="s">
        <v>9</v>
      </c>
      <c r="B321" s="1">
        <v>45825</v>
      </c>
      <c r="C321" t="s">
        <v>10</v>
      </c>
      <c r="D321">
        <v>6565</v>
      </c>
      <c r="E321">
        <v>0</v>
      </c>
      <c r="F321">
        <v>-6565</v>
      </c>
      <c r="G321" t="s">
        <v>10</v>
      </c>
      <c r="H321" t="s">
        <v>11</v>
      </c>
      <c r="I321" t="s">
        <v>12</v>
      </c>
    </row>
    <row r="322" spans="1:9" x14ac:dyDescent="0.3">
      <c r="A322" t="s">
        <v>4</v>
      </c>
      <c r="B322" s="1">
        <v>45825</v>
      </c>
      <c r="C322" t="s">
        <v>15</v>
      </c>
      <c r="D322">
        <v>5457</v>
      </c>
      <c r="E322">
        <v>0</v>
      </c>
      <c r="F322">
        <v>-5457</v>
      </c>
      <c r="G322" t="s">
        <v>15</v>
      </c>
      <c r="H322" t="s">
        <v>16</v>
      </c>
      <c r="I322" t="s">
        <v>12</v>
      </c>
    </row>
    <row r="323" spans="1:9" x14ac:dyDescent="0.3">
      <c r="A323" t="s">
        <v>4</v>
      </c>
      <c r="B323" s="1">
        <v>45826</v>
      </c>
      <c r="C323" t="s">
        <v>27</v>
      </c>
      <c r="D323">
        <v>4396</v>
      </c>
      <c r="E323">
        <v>0</v>
      </c>
      <c r="F323">
        <v>-4396</v>
      </c>
      <c r="G323" t="s">
        <v>27</v>
      </c>
      <c r="H323" t="s">
        <v>11</v>
      </c>
      <c r="I323" t="s">
        <v>12</v>
      </c>
    </row>
    <row r="324" spans="1:9" x14ac:dyDescent="0.3">
      <c r="A324" t="s">
        <v>9</v>
      </c>
      <c r="B324" s="1">
        <v>45826</v>
      </c>
      <c r="C324" t="s">
        <v>25</v>
      </c>
      <c r="D324">
        <v>0</v>
      </c>
      <c r="E324">
        <v>7648</v>
      </c>
      <c r="F324">
        <v>7648</v>
      </c>
      <c r="G324" t="s">
        <v>25</v>
      </c>
      <c r="H324" t="s">
        <v>23</v>
      </c>
      <c r="I324" t="s">
        <v>23</v>
      </c>
    </row>
    <row r="325" spans="1:9" x14ac:dyDescent="0.3">
      <c r="A325" t="s">
        <v>9</v>
      </c>
      <c r="B325" s="1">
        <v>45827</v>
      </c>
      <c r="C325" t="s">
        <v>17</v>
      </c>
      <c r="D325">
        <v>6367</v>
      </c>
      <c r="E325">
        <v>0</v>
      </c>
      <c r="F325">
        <v>-6367</v>
      </c>
      <c r="G325" t="s">
        <v>17</v>
      </c>
      <c r="H325" t="s">
        <v>18</v>
      </c>
      <c r="I325" t="s">
        <v>12</v>
      </c>
    </row>
    <row r="326" spans="1:9" x14ac:dyDescent="0.3">
      <c r="A326" t="s">
        <v>4</v>
      </c>
      <c r="B326" s="1">
        <v>45828</v>
      </c>
      <c r="C326" t="s">
        <v>13</v>
      </c>
      <c r="D326">
        <v>5180</v>
      </c>
      <c r="E326">
        <v>0</v>
      </c>
      <c r="F326">
        <v>-5180</v>
      </c>
      <c r="G326" t="s">
        <v>13</v>
      </c>
      <c r="H326" t="s">
        <v>14</v>
      </c>
      <c r="I326" t="s">
        <v>12</v>
      </c>
    </row>
    <row r="327" spans="1:9" x14ac:dyDescent="0.3">
      <c r="A327" t="s">
        <v>4</v>
      </c>
      <c r="B327" s="1">
        <v>45828</v>
      </c>
      <c r="C327" t="s">
        <v>26</v>
      </c>
      <c r="D327">
        <v>6328</v>
      </c>
      <c r="E327">
        <v>0</v>
      </c>
      <c r="F327">
        <v>-6328</v>
      </c>
      <c r="G327" t="s">
        <v>26</v>
      </c>
      <c r="H327" t="s">
        <v>18</v>
      </c>
      <c r="I327" t="s">
        <v>12</v>
      </c>
    </row>
    <row r="328" spans="1:9" x14ac:dyDescent="0.3">
      <c r="A328" t="s">
        <v>9</v>
      </c>
      <c r="B328" s="1">
        <v>45829</v>
      </c>
      <c r="C328" t="s">
        <v>20</v>
      </c>
      <c r="D328">
        <v>4114</v>
      </c>
      <c r="E328">
        <v>0</v>
      </c>
      <c r="F328">
        <v>-4114</v>
      </c>
      <c r="G328" t="s">
        <v>20</v>
      </c>
      <c r="H328" t="s">
        <v>21</v>
      </c>
      <c r="I328" t="s">
        <v>12</v>
      </c>
    </row>
    <row r="329" spans="1:9" x14ac:dyDescent="0.3">
      <c r="A329" t="s">
        <v>4</v>
      </c>
      <c r="B329" s="1">
        <v>45829</v>
      </c>
      <c r="C329" t="s">
        <v>13</v>
      </c>
      <c r="D329">
        <v>3636</v>
      </c>
      <c r="E329">
        <v>0</v>
      </c>
      <c r="F329">
        <v>-3636</v>
      </c>
      <c r="G329" t="s">
        <v>13</v>
      </c>
      <c r="H329" t="s">
        <v>14</v>
      </c>
      <c r="I329" t="s">
        <v>12</v>
      </c>
    </row>
    <row r="330" spans="1:9" x14ac:dyDescent="0.3">
      <c r="A330" t="s">
        <v>4</v>
      </c>
      <c r="B330" s="1">
        <v>45830</v>
      </c>
      <c r="C330" t="s">
        <v>10</v>
      </c>
      <c r="D330">
        <v>6773</v>
      </c>
      <c r="E330">
        <v>0</v>
      </c>
      <c r="F330">
        <v>-6773</v>
      </c>
      <c r="G330" t="s">
        <v>10</v>
      </c>
      <c r="H330" t="s">
        <v>11</v>
      </c>
      <c r="I330" t="s">
        <v>12</v>
      </c>
    </row>
    <row r="331" spans="1:9" x14ac:dyDescent="0.3">
      <c r="A331" t="s">
        <v>4</v>
      </c>
      <c r="B331" s="1">
        <v>45830</v>
      </c>
      <c r="C331" t="s">
        <v>27</v>
      </c>
      <c r="D331">
        <v>1300</v>
      </c>
      <c r="E331">
        <v>0</v>
      </c>
      <c r="F331">
        <v>-1300</v>
      </c>
      <c r="G331" t="s">
        <v>27</v>
      </c>
      <c r="H331" t="s">
        <v>11</v>
      </c>
      <c r="I331" t="s">
        <v>12</v>
      </c>
    </row>
    <row r="332" spans="1:9" x14ac:dyDescent="0.3">
      <c r="A332" t="s">
        <v>4</v>
      </c>
      <c r="B332" s="1">
        <v>45830</v>
      </c>
      <c r="C332" t="s">
        <v>25</v>
      </c>
      <c r="D332">
        <v>0</v>
      </c>
      <c r="E332">
        <v>7684</v>
      </c>
      <c r="F332">
        <v>7684</v>
      </c>
      <c r="G332" t="s">
        <v>25</v>
      </c>
      <c r="H332" t="s">
        <v>23</v>
      </c>
      <c r="I332" t="s">
        <v>23</v>
      </c>
    </row>
    <row r="333" spans="1:9" x14ac:dyDescent="0.3">
      <c r="A333" t="s">
        <v>9</v>
      </c>
      <c r="B333" s="1">
        <v>45831</v>
      </c>
      <c r="C333" t="s">
        <v>24</v>
      </c>
      <c r="D333">
        <v>0</v>
      </c>
      <c r="E333">
        <v>10945</v>
      </c>
      <c r="F333">
        <v>10945</v>
      </c>
      <c r="G333" t="s">
        <v>24</v>
      </c>
      <c r="H333" t="s">
        <v>23</v>
      </c>
      <c r="I333" t="s">
        <v>23</v>
      </c>
    </row>
    <row r="334" spans="1:9" x14ac:dyDescent="0.3">
      <c r="A334" t="s">
        <v>4</v>
      </c>
      <c r="B334" s="1">
        <v>45831</v>
      </c>
      <c r="C334" t="s">
        <v>26</v>
      </c>
      <c r="D334">
        <v>3857</v>
      </c>
      <c r="E334">
        <v>0</v>
      </c>
      <c r="F334">
        <v>-3857</v>
      </c>
      <c r="G334" t="s">
        <v>26</v>
      </c>
      <c r="H334" t="s">
        <v>18</v>
      </c>
      <c r="I334" t="s">
        <v>12</v>
      </c>
    </row>
    <row r="335" spans="1:9" x14ac:dyDescent="0.3">
      <c r="A335" t="s">
        <v>9</v>
      </c>
      <c r="B335" s="1">
        <v>45832</v>
      </c>
      <c r="C335" t="s">
        <v>24</v>
      </c>
      <c r="D335">
        <v>0</v>
      </c>
      <c r="E335">
        <v>37012</v>
      </c>
      <c r="F335">
        <v>37012</v>
      </c>
      <c r="G335" t="s">
        <v>24</v>
      </c>
      <c r="H335" t="s">
        <v>23</v>
      </c>
      <c r="I335" t="s">
        <v>23</v>
      </c>
    </row>
    <row r="336" spans="1:9" x14ac:dyDescent="0.3">
      <c r="A336" t="s">
        <v>9</v>
      </c>
      <c r="B336" s="1">
        <v>45832</v>
      </c>
      <c r="C336" t="s">
        <v>17</v>
      </c>
      <c r="D336">
        <v>4616</v>
      </c>
      <c r="E336">
        <v>0</v>
      </c>
      <c r="F336">
        <v>-4616</v>
      </c>
      <c r="G336" t="s">
        <v>17</v>
      </c>
      <c r="H336" t="s">
        <v>18</v>
      </c>
      <c r="I336" t="s">
        <v>12</v>
      </c>
    </row>
    <row r="337" spans="1:9" x14ac:dyDescent="0.3">
      <c r="A337" t="s">
        <v>9</v>
      </c>
      <c r="B337" s="1">
        <v>45833</v>
      </c>
      <c r="C337" t="s">
        <v>10</v>
      </c>
      <c r="D337">
        <v>5661</v>
      </c>
      <c r="E337">
        <v>0</v>
      </c>
      <c r="F337">
        <v>-5661</v>
      </c>
      <c r="G337" t="s">
        <v>10</v>
      </c>
      <c r="H337" t="s">
        <v>11</v>
      </c>
      <c r="I337" t="s">
        <v>12</v>
      </c>
    </row>
    <row r="338" spans="1:9" x14ac:dyDescent="0.3">
      <c r="A338" t="s">
        <v>9</v>
      </c>
      <c r="B338" s="1">
        <v>45833</v>
      </c>
      <c r="C338" t="s">
        <v>15</v>
      </c>
      <c r="D338">
        <v>1131</v>
      </c>
      <c r="E338">
        <v>0</v>
      </c>
      <c r="F338">
        <v>-1131</v>
      </c>
      <c r="G338" t="s">
        <v>15</v>
      </c>
      <c r="H338" t="s">
        <v>16</v>
      </c>
      <c r="I338" t="s">
        <v>12</v>
      </c>
    </row>
    <row r="339" spans="1:9" x14ac:dyDescent="0.3">
      <c r="A339" t="s">
        <v>4</v>
      </c>
      <c r="B339" s="1">
        <v>45833</v>
      </c>
      <c r="C339" t="s">
        <v>15</v>
      </c>
      <c r="D339">
        <v>5066</v>
      </c>
      <c r="E339">
        <v>0</v>
      </c>
      <c r="F339">
        <v>-5066</v>
      </c>
      <c r="G339" t="s">
        <v>15</v>
      </c>
      <c r="H339" t="s">
        <v>16</v>
      </c>
      <c r="I339" t="s">
        <v>12</v>
      </c>
    </row>
    <row r="340" spans="1:9" x14ac:dyDescent="0.3">
      <c r="A340" t="s">
        <v>4</v>
      </c>
      <c r="B340" s="1">
        <v>45834</v>
      </c>
      <c r="C340" t="s">
        <v>13</v>
      </c>
      <c r="D340">
        <v>4364</v>
      </c>
      <c r="E340">
        <v>0</v>
      </c>
      <c r="F340">
        <v>-4364</v>
      </c>
      <c r="G340" t="s">
        <v>13</v>
      </c>
      <c r="H340" t="s">
        <v>14</v>
      </c>
      <c r="I340" t="s">
        <v>12</v>
      </c>
    </row>
    <row r="341" spans="1:9" x14ac:dyDescent="0.3">
      <c r="A341" t="s">
        <v>4</v>
      </c>
      <c r="B341" s="1">
        <v>45834</v>
      </c>
      <c r="C341" t="s">
        <v>20</v>
      </c>
      <c r="D341">
        <v>4207</v>
      </c>
      <c r="E341">
        <v>0</v>
      </c>
      <c r="F341">
        <v>-4207</v>
      </c>
      <c r="G341" t="s">
        <v>20</v>
      </c>
      <c r="H341" t="s">
        <v>21</v>
      </c>
      <c r="I341" t="s">
        <v>12</v>
      </c>
    </row>
    <row r="342" spans="1:9" x14ac:dyDescent="0.3">
      <c r="A342" t="s">
        <v>4</v>
      </c>
      <c r="B342" s="1">
        <v>45835</v>
      </c>
      <c r="C342" t="s">
        <v>20</v>
      </c>
      <c r="D342">
        <v>4647</v>
      </c>
      <c r="E342">
        <v>0</v>
      </c>
      <c r="F342">
        <v>-4647</v>
      </c>
      <c r="G342" t="s">
        <v>20</v>
      </c>
      <c r="H342" t="s">
        <v>21</v>
      </c>
      <c r="I342" t="s">
        <v>12</v>
      </c>
    </row>
    <row r="343" spans="1:9" x14ac:dyDescent="0.3">
      <c r="A343" t="s">
        <v>9</v>
      </c>
      <c r="B343" s="1">
        <v>45835</v>
      </c>
      <c r="C343" t="s">
        <v>10</v>
      </c>
      <c r="D343">
        <v>1290</v>
      </c>
      <c r="E343">
        <v>0</v>
      </c>
      <c r="F343">
        <v>-1290</v>
      </c>
      <c r="G343" t="s">
        <v>10</v>
      </c>
      <c r="H343" t="s">
        <v>11</v>
      </c>
      <c r="I343" t="s">
        <v>12</v>
      </c>
    </row>
    <row r="344" spans="1:9" x14ac:dyDescent="0.3">
      <c r="A344" t="s">
        <v>4</v>
      </c>
      <c r="B344" s="1">
        <v>45835</v>
      </c>
      <c r="C344" t="s">
        <v>27</v>
      </c>
      <c r="D344">
        <v>785</v>
      </c>
      <c r="E344">
        <v>0</v>
      </c>
      <c r="F344">
        <v>-785</v>
      </c>
      <c r="G344" t="s">
        <v>27</v>
      </c>
      <c r="H344" t="s">
        <v>11</v>
      </c>
      <c r="I344" t="s">
        <v>12</v>
      </c>
    </row>
    <row r="345" spans="1:9" x14ac:dyDescent="0.3">
      <c r="A345" t="s">
        <v>9</v>
      </c>
      <c r="B345" s="1">
        <v>45836</v>
      </c>
      <c r="C345" t="s">
        <v>15</v>
      </c>
      <c r="D345">
        <v>1270</v>
      </c>
      <c r="E345">
        <v>0</v>
      </c>
      <c r="F345">
        <v>-1270</v>
      </c>
      <c r="G345" t="s">
        <v>15</v>
      </c>
      <c r="H345" t="s">
        <v>16</v>
      </c>
      <c r="I345" t="s">
        <v>12</v>
      </c>
    </row>
    <row r="346" spans="1:9" x14ac:dyDescent="0.3">
      <c r="A346" t="s">
        <v>4</v>
      </c>
      <c r="B346" s="1">
        <v>45836</v>
      </c>
      <c r="C346" t="s">
        <v>15</v>
      </c>
      <c r="D346">
        <v>4308</v>
      </c>
      <c r="E346">
        <v>0</v>
      </c>
      <c r="F346">
        <v>-4308</v>
      </c>
      <c r="G346" t="s">
        <v>15</v>
      </c>
      <c r="H346" t="s">
        <v>16</v>
      </c>
      <c r="I346" t="s">
        <v>12</v>
      </c>
    </row>
    <row r="347" spans="1:9" x14ac:dyDescent="0.3">
      <c r="A347" t="s">
        <v>9</v>
      </c>
      <c r="B347" s="1">
        <v>45837</v>
      </c>
      <c r="C347" t="s">
        <v>15</v>
      </c>
      <c r="D347">
        <v>4155</v>
      </c>
      <c r="E347">
        <v>0</v>
      </c>
      <c r="F347">
        <v>-4155</v>
      </c>
      <c r="G347" t="s">
        <v>15</v>
      </c>
      <c r="H347" t="s">
        <v>16</v>
      </c>
      <c r="I347" t="s">
        <v>12</v>
      </c>
    </row>
    <row r="348" spans="1:9" x14ac:dyDescent="0.3">
      <c r="A348" t="s">
        <v>9</v>
      </c>
      <c r="B348" s="1">
        <v>45837</v>
      </c>
      <c r="C348" t="s">
        <v>17</v>
      </c>
      <c r="D348">
        <v>5369</v>
      </c>
      <c r="E348">
        <v>0</v>
      </c>
      <c r="F348">
        <v>-5369</v>
      </c>
      <c r="G348" t="s">
        <v>17</v>
      </c>
      <c r="H348" t="s">
        <v>18</v>
      </c>
      <c r="I348" t="s">
        <v>12</v>
      </c>
    </row>
    <row r="349" spans="1:9" x14ac:dyDescent="0.3">
      <c r="A349" t="s">
        <v>9</v>
      </c>
      <c r="B349" s="1">
        <v>45838</v>
      </c>
      <c r="C349" t="s">
        <v>15</v>
      </c>
      <c r="D349">
        <v>5679</v>
      </c>
      <c r="E349">
        <v>0</v>
      </c>
      <c r="F349">
        <v>-5679</v>
      </c>
      <c r="G349" t="s">
        <v>15</v>
      </c>
      <c r="H349" t="s">
        <v>16</v>
      </c>
      <c r="I349" t="s">
        <v>12</v>
      </c>
    </row>
    <row r="350" spans="1:9" x14ac:dyDescent="0.3">
      <c r="A350" t="s">
        <v>4</v>
      </c>
      <c r="B350" s="1">
        <v>45838</v>
      </c>
      <c r="C350" t="s">
        <v>19</v>
      </c>
      <c r="D350">
        <v>1418</v>
      </c>
      <c r="E350">
        <v>0</v>
      </c>
      <c r="F350">
        <v>-1418</v>
      </c>
      <c r="G350" t="s">
        <v>19</v>
      </c>
      <c r="H350" t="s">
        <v>16</v>
      </c>
      <c r="I350" t="s">
        <v>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443C4-D46D-42B6-970B-8691D93397C1}">
  <dimension ref="A1:C12"/>
  <sheetViews>
    <sheetView workbookViewId="0"/>
  </sheetViews>
  <sheetFormatPr defaultRowHeight="14.4" x14ac:dyDescent="0.3"/>
  <cols>
    <col min="1" max="1" width="14.44140625" bestFit="1" customWidth="1"/>
    <col min="2" max="2" width="10.77734375" bestFit="1" customWidth="1"/>
    <col min="3" max="3" width="15.44140625" bestFit="1" customWidth="1"/>
  </cols>
  <sheetData>
    <row r="1" spans="1:3" x14ac:dyDescent="0.3">
      <c r="A1" t="s">
        <v>6</v>
      </c>
      <c r="B1" t="s">
        <v>7</v>
      </c>
      <c r="C1" t="s">
        <v>8</v>
      </c>
    </row>
    <row r="2" spans="1:3" x14ac:dyDescent="0.3">
      <c r="A2" t="s">
        <v>17</v>
      </c>
      <c r="B2" t="s">
        <v>18</v>
      </c>
      <c r="C2" t="s">
        <v>12</v>
      </c>
    </row>
    <row r="3" spans="1:3" x14ac:dyDescent="0.3">
      <c r="A3" t="s">
        <v>26</v>
      </c>
      <c r="B3" t="s">
        <v>18</v>
      </c>
      <c r="C3" t="s">
        <v>12</v>
      </c>
    </row>
    <row r="4" spans="1:3" x14ac:dyDescent="0.3">
      <c r="A4" t="s">
        <v>27</v>
      </c>
      <c r="B4" t="s">
        <v>11</v>
      </c>
      <c r="C4" t="s">
        <v>12</v>
      </c>
    </row>
    <row r="5" spans="1:3" x14ac:dyDescent="0.3">
      <c r="A5" t="s">
        <v>10</v>
      </c>
      <c r="B5" t="s">
        <v>11</v>
      </c>
      <c r="C5" t="s">
        <v>12</v>
      </c>
    </row>
    <row r="6" spans="1:3" x14ac:dyDescent="0.3">
      <c r="A6" t="s">
        <v>19</v>
      </c>
      <c r="B6" t="s">
        <v>16</v>
      </c>
      <c r="C6" t="s">
        <v>12</v>
      </c>
    </row>
    <row r="7" spans="1:3" x14ac:dyDescent="0.3">
      <c r="A7" t="s">
        <v>20</v>
      </c>
      <c r="B7" t="s">
        <v>21</v>
      </c>
      <c r="C7" t="s">
        <v>12</v>
      </c>
    </row>
    <row r="8" spans="1:3" x14ac:dyDescent="0.3">
      <c r="A8" t="s">
        <v>15</v>
      </c>
      <c r="B8" t="s">
        <v>16</v>
      </c>
      <c r="C8" t="s">
        <v>12</v>
      </c>
    </row>
    <row r="9" spans="1:3" x14ac:dyDescent="0.3">
      <c r="A9" t="s">
        <v>13</v>
      </c>
      <c r="B9" t="s">
        <v>14</v>
      </c>
      <c r="C9" t="s">
        <v>12</v>
      </c>
    </row>
    <row r="10" spans="1:3" x14ac:dyDescent="0.3">
      <c r="A10" t="s">
        <v>25</v>
      </c>
      <c r="B10" t="s">
        <v>23</v>
      </c>
      <c r="C10" t="s">
        <v>23</v>
      </c>
    </row>
    <row r="11" spans="1:3" x14ac:dyDescent="0.3">
      <c r="A11" t="s">
        <v>22</v>
      </c>
      <c r="B11" t="s">
        <v>23</v>
      </c>
      <c r="C11" t="s">
        <v>23</v>
      </c>
    </row>
    <row r="12" spans="1:3" x14ac:dyDescent="0.3">
      <c r="A12" t="s">
        <v>24</v>
      </c>
      <c r="B12" t="s">
        <v>23</v>
      </c>
      <c r="C12" t="s">
        <v>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BFDBD-33BF-47BC-9D19-4DE4F0ADF93F}">
  <dimension ref="A1:I399"/>
  <sheetViews>
    <sheetView workbookViewId="0">
      <selection activeCell="K215" sqref="K215"/>
    </sheetView>
  </sheetViews>
  <sheetFormatPr defaultRowHeight="14.4" x14ac:dyDescent="0.3"/>
  <cols>
    <col min="1" max="1" width="14.77734375" bestFit="1" customWidth="1"/>
    <col min="2" max="2" width="10.33203125" bestFit="1" customWidth="1"/>
    <col min="3" max="3" width="12.6640625" bestFit="1" customWidth="1"/>
    <col min="4" max="4" width="7.6640625" bestFit="1" customWidth="1"/>
    <col min="5" max="5" width="8.21875" bestFit="1" customWidth="1"/>
    <col min="6" max="6" width="23.109375" bestFit="1" customWidth="1"/>
    <col min="7" max="7" width="14.44140625" bestFit="1" customWidth="1"/>
    <col min="8" max="8" width="10.77734375" bestFit="1" customWidth="1"/>
    <col min="9" max="9" width="15.44140625" bestFit="1" customWidth="1"/>
  </cols>
  <sheetData>
    <row r="1" spans="1:9" x14ac:dyDescent="0.3">
      <c r="A1" t="s">
        <v>0</v>
      </c>
      <c r="B1" t="s">
        <v>1</v>
      </c>
      <c r="C1" t="s">
        <v>2</v>
      </c>
      <c r="D1" t="s">
        <v>3</v>
      </c>
      <c r="E1" t="s">
        <v>4</v>
      </c>
      <c r="F1" t="s">
        <v>45</v>
      </c>
      <c r="G1" t="s">
        <v>6</v>
      </c>
      <c r="H1" t="s">
        <v>7</v>
      </c>
      <c r="I1" t="s">
        <v>8</v>
      </c>
    </row>
    <row r="2" spans="1:9" x14ac:dyDescent="0.3">
      <c r="A2" t="s">
        <v>9</v>
      </c>
      <c r="B2" s="1">
        <v>45839</v>
      </c>
      <c r="C2" t="s">
        <v>27</v>
      </c>
      <c r="D2">
        <v>1362</v>
      </c>
      <c r="E2">
        <v>0</v>
      </c>
      <c r="F2">
        <v>-1362</v>
      </c>
      <c r="G2" t="s">
        <v>27</v>
      </c>
      <c r="H2" t="s">
        <v>11</v>
      </c>
      <c r="I2" t="s">
        <v>12</v>
      </c>
    </row>
    <row r="3" spans="1:9" x14ac:dyDescent="0.3">
      <c r="A3" t="s">
        <v>9</v>
      </c>
      <c r="B3" s="1">
        <v>45840</v>
      </c>
      <c r="C3" t="s">
        <v>25</v>
      </c>
      <c r="D3">
        <v>0</v>
      </c>
      <c r="E3">
        <v>7659</v>
      </c>
      <c r="F3">
        <v>7659</v>
      </c>
      <c r="G3" t="s">
        <v>25</v>
      </c>
      <c r="H3" t="s">
        <v>23</v>
      </c>
      <c r="I3" t="s">
        <v>23</v>
      </c>
    </row>
    <row r="4" spans="1:9" x14ac:dyDescent="0.3">
      <c r="A4" t="s">
        <v>9</v>
      </c>
      <c r="B4" s="1">
        <v>45840</v>
      </c>
      <c r="C4" t="s">
        <v>26</v>
      </c>
      <c r="D4">
        <v>7305</v>
      </c>
      <c r="E4">
        <v>0</v>
      </c>
      <c r="F4">
        <v>-7305</v>
      </c>
      <c r="G4" t="s">
        <v>26</v>
      </c>
      <c r="H4" t="s">
        <v>18</v>
      </c>
      <c r="I4" t="s">
        <v>12</v>
      </c>
    </row>
    <row r="5" spans="1:9" x14ac:dyDescent="0.3">
      <c r="A5" t="s">
        <v>4</v>
      </c>
      <c r="B5" s="1">
        <v>45841</v>
      </c>
      <c r="C5" t="s">
        <v>25</v>
      </c>
      <c r="D5">
        <v>0</v>
      </c>
      <c r="E5">
        <v>25924</v>
      </c>
      <c r="F5">
        <v>25924</v>
      </c>
      <c r="G5" t="s">
        <v>25</v>
      </c>
      <c r="H5" t="s">
        <v>23</v>
      </c>
      <c r="I5" t="s">
        <v>23</v>
      </c>
    </row>
    <row r="6" spans="1:9" x14ac:dyDescent="0.3">
      <c r="A6" t="s">
        <v>4</v>
      </c>
      <c r="B6" s="1">
        <v>45841</v>
      </c>
      <c r="C6" t="s">
        <v>15</v>
      </c>
      <c r="D6">
        <v>4245</v>
      </c>
      <c r="E6">
        <v>0</v>
      </c>
      <c r="F6">
        <v>-4245</v>
      </c>
      <c r="G6" t="s">
        <v>15</v>
      </c>
      <c r="H6" t="s">
        <v>16</v>
      </c>
      <c r="I6" t="s">
        <v>12</v>
      </c>
    </row>
    <row r="7" spans="1:9" x14ac:dyDescent="0.3">
      <c r="A7" t="s">
        <v>9</v>
      </c>
      <c r="B7" s="1">
        <v>45841</v>
      </c>
      <c r="C7" t="s">
        <v>27</v>
      </c>
      <c r="D7">
        <v>1706</v>
      </c>
      <c r="E7">
        <v>0</v>
      </c>
      <c r="F7">
        <v>-1706</v>
      </c>
      <c r="G7" t="s">
        <v>27</v>
      </c>
      <c r="H7" t="s">
        <v>11</v>
      </c>
      <c r="I7" t="s">
        <v>12</v>
      </c>
    </row>
    <row r="8" spans="1:9" x14ac:dyDescent="0.3">
      <c r="A8" t="s">
        <v>9</v>
      </c>
      <c r="B8" s="1">
        <v>45842</v>
      </c>
      <c r="C8" t="s">
        <v>17</v>
      </c>
      <c r="D8">
        <v>5147</v>
      </c>
      <c r="E8">
        <v>0</v>
      </c>
      <c r="F8">
        <v>-5147</v>
      </c>
      <c r="G8" t="s">
        <v>17</v>
      </c>
      <c r="H8" t="s">
        <v>18</v>
      </c>
      <c r="I8" t="s">
        <v>12</v>
      </c>
    </row>
    <row r="9" spans="1:9" x14ac:dyDescent="0.3">
      <c r="A9" t="s">
        <v>9</v>
      </c>
      <c r="B9" s="1">
        <v>45842</v>
      </c>
      <c r="C9" t="s">
        <v>17</v>
      </c>
      <c r="D9">
        <v>3375</v>
      </c>
      <c r="E9">
        <v>0</v>
      </c>
      <c r="F9">
        <v>-3375</v>
      </c>
      <c r="G9" t="s">
        <v>17</v>
      </c>
      <c r="H9" t="s">
        <v>18</v>
      </c>
      <c r="I9" t="s">
        <v>12</v>
      </c>
    </row>
    <row r="10" spans="1:9" x14ac:dyDescent="0.3">
      <c r="A10" t="s">
        <v>9</v>
      </c>
      <c r="B10" s="1">
        <v>45843</v>
      </c>
      <c r="C10" t="s">
        <v>15</v>
      </c>
      <c r="D10">
        <v>6458</v>
      </c>
      <c r="E10">
        <v>0</v>
      </c>
      <c r="F10">
        <v>-6458</v>
      </c>
      <c r="G10" t="s">
        <v>15</v>
      </c>
      <c r="H10" t="s">
        <v>16</v>
      </c>
      <c r="I10" t="s">
        <v>12</v>
      </c>
    </row>
    <row r="11" spans="1:9" x14ac:dyDescent="0.3">
      <c r="A11" t="s">
        <v>9</v>
      </c>
      <c r="B11" s="1">
        <v>45843</v>
      </c>
      <c r="C11" t="s">
        <v>19</v>
      </c>
      <c r="D11">
        <v>5907</v>
      </c>
      <c r="E11">
        <v>0</v>
      </c>
      <c r="F11">
        <v>-5907</v>
      </c>
      <c r="G11" t="s">
        <v>19</v>
      </c>
      <c r="H11" t="s">
        <v>16</v>
      </c>
      <c r="I11" t="s">
        <v>12</v>
      </c>
    </row>
    <row r="12" spans="1:9" x14ac:dyDescent="0.3">
      <c r="A12" t="s">
        <v>9</v>
      </c>
      <c r="B12" s="1">
        <v>45843</v>
      </c>
      <c r="C12" t="s">
        <v>10</v>
      </c>
      <c r="D12">
        <v>3385</v>
      </c>
      <c r="E12">
        <v>0</v>
      </c>
      <c r="F12">
        <v>-3385</v>
      </c>
      <c r="G12" t="s">
        <v>10</v>
      </c>
      <c r="H12" t="s">
        <v>11</v>
      </c>
      <c r="I12" t="s">
        <v>12</v>
      </c>
    </row>
    <row r="13" spans="1:9" x14ac:dyDescent="0.3">
      <c r="A13" t="s">
        <v>4</v>
      </c>
      <c r="B13" s="1">
        <v>45844</v>
      </c>
      <c r="C13" t="s">
        <v>24</v>
      </c>
      <c r="D13">
        <v>0</v>
      </c>
      <c r="E13">
        <v>42001</v>
      </c>
      <c r="F13">
        <v>42001</v>
      </c>
      <c r="G13" t="s">
        <v>24</v>
      </c>
      <c r="H13" t="s">
        <v>23</v>
      </c>
      <c r="I13" t="s">
        <v>23</v>
      </c>
    </row>
    <row r="14" spans="1:9" x14ac:dyDescent="0.3">
      <c r="A14" t="s">
        <v>9</v>
      </c>
      <c r="B14" s="1">
        <v>45844</v>
      </c>
      <c r="C14" t="s">
        <v>17</v>
      </c>
      <c r="D14">
        <v>4363</v>
      </c>
      <c r="E14">
        <v>0</v>
      </c>
      <c r="F14">
        <v>-4363</v>
      </c>
      <c r="G14" t="s">
        <v>17</v>
      </c>
      <c r="H14" t="s">
        <v>18</v>
      </c>
      <c r="I14" t="s">
        <v>12</v>
      </c>
    </row>
    <row r="15" spans="1:9" x14ac:dyDescent="0.3">
      <c r="A15" t="s">
        <v>4</v>
      </c>
      <c r="B15" s="1">
        <v>45845</v>
      </c>
      <c r="C15" t="s">
        <v>19</v>
      </c>
      <c r="D15">
        <v>2588</v>
      </c>
      <c r="E15">
        <v>0</v>
      </c>
      <c r="F15">
        <v>-2588</v>
      </c>
      <c r="G15" t="s">
        <v>19</v>
      </c>
      <c r="H15" t="s">
        <v>16</v>
      </c>
      <c r="I15" t="s">
        <v>12</v>
      </c>
    </row>
    <row r="16" spans="1:9" x14ac:dyDescent="0.3">
      <c r="A16" t="s">
        <v>9</v>
      </c>
      <c r="B16" s="1">
        <v>45845</v>
      </c>
      <c r="C16" t="s">
        <v>26</v>
      </c>
      <c r="D16">
        <v>5250</v>
      </c>
      <c r="E16">
        <v>0</v>
      </c>
      <c r="F16">
        <v>-5250</v>
      </c>
      <c r="G16" t="s">
        <v>26</v>
      </c>
      <c r="H16" t="s">
        <v>18</v>
      </c>
      <c r="I16" t="s">
        <v>12</v>
      </c>
    </row>
    <row r="17" spans="1:9" x14ac:dyDescent="0.3">
      <c r="A17" t="s">
        <v>9</v>
      </c>
      <c r="B17" s="1">
        <v>45846</v>
      </c>
      <c r="C17" t="s">
        <v>20</v>
      </c>
      <c r="D17">
        <v>735</v>
      </c>
      <c r="E17">
        <v>0</v>
      </c>
      <c r="F17">
        <v>-735</v>
      </c>
      <c r="G17" t="s">
        <v>20</v>
      </c>
      <c r="H17" t="s">
        <v>21</v>
      </c>
      <c r="I17" t="s">
        <v>12</v>
      </c>
    </row>
    <row r="18" spans="1:9" x14ac:dyDescent="0.3">
      <c r="A18" t="s">
        <v>4</v>
      </c>
      <c r="B18" s="1">
        <v>45847</v>
      </c>
      <c r="C18" t="s">
        <v>26</v>
      </c>
      <c r="D18">
        <v>7310</v>
      </c>
      <c r="E18">
        <v>0</v>
      </c>
      <c r="F18">
        <v>-7310</v>
      </c>
      <c r="G18" t="s">
        <v>26</v>
      </c>
      <c r="H18" t="s">
        <v>18</v>
      </c>
      <c r="I18" t="s">
        <v>12</v>
      </c>
    </row>
    <row r="19" spans="1:9" x14ac:dyDescent="0.3">
      <c r="A19" t="s">
        <v>9</v>
      </c>
      <c r="B19" s="1">
        <v>45847</v>
      </c>
      <c r="C19" t="s">
        <v>24</v>
      </c>
      <c r="D19">
        <v>0</v>
      </c>
      <c r="E19">
        <v>35363</v>
      </c>
      <c r="F19">
        <v>35363</v>
      </c>
      <c r="G19" t="s">
        <v>24</v>
      </c>
      <c r="H19" t="s">
        <v>23</v>
      </c>
      <c r="I19" t="s">
        <v>23</v>
      </c>
    </row>
    <row r="20" spans="1:9" x14ac:dyDescent="0.3">
      <c r="A20" t="s">
        <v>9</v>
      </c>
      <c r="B20" s="1">
        <v>45848</v>
      </c>
      <c r="C20" t="s">
        <v>13</v>
      </c>
      <c r="D20">
        <v>4057</v>
      </c>
      <c r="E20">
        <v>0</v>
      </c>
      <c r="F20">
        <v>-4057</v>
      </c>
      <c r="G20" t="s">
        <v>13</v>
      </c>
      <c r="H20" t="s">
        <v>14</v>
      </c>
      <c r="I20" t="s">
        <v>12</v>
      </c>
    </row>
    <row r="21" spans="1:9" x14ac:dyDescent="0.3">
      <c r="A21" t="s">
        <v>4</v>
      </c>
      <c r="B21" s="1">
        <v>45848</v>
      </c>
      <c r="C21" t="s">
        <v>15</v>
      </c>
      <c r="D21">
        <v>776</v>
      </c>
      <c r="E21">
        <v>0</v>
      </c>
      <c r="F21">
        <v>-776</v>
      </c>
      <c r="G21" t="s">
        <v>15</v>
      </c>
      <c r="H21" t="s">
        <v>16</v>
      </c>
      <c r="I21" t="s">
        <v>12</v>
      </c>
    </row>
    <row r="22" spans="1:9" x14ac:dyDescent="0.3">
      <c r="A22" t="s">
        <v>9</v>
      </c>
      <c r="B22" s="1">
        <v>45848</v>
      </c>
      <c r="C22" t="s">
        <v>15</v>
      </c>
      <c r="D22">
        <v>544</v>
      </c>
      <c r="E22">
        <v>0</v>
      </c>
      <c r="F22">
        <v>-544</v>
      </c>
      <c r="G22" t="s">
        <v>15</v>
      </c>
      <c r="H22" t="s">
        <v>16</v>
      </c>
      <c r="I22" t="s">
        <v>12</v>
      </c>
    </row>
    <row r="23" spans="1:9" x14ac:dyDescent="0.3">
      <c r="A23" t="s">
        <v>4</v>
      </c>
      <c r="B23" s="1">
        <v>45849</v>
      </c>
      <c r="C23" t="s">
        <v>15</v>
      </c>
      <c r="D23">
        <v>3935</v>
      </c>
      <c r="E23">
        <v>0</v>
      </c>
      <c r="F23">
        <v>-3935</v>
      </c>
      <c r="G23" t="s">
        <v>15</v>
      </c>
      <c r="H23" t="s">
        <v>16</v>
      </c>
      <c r="I23" t="s">
        <v>12</v>
      </c>
    </row>
    <row r="24" spans="1:9" x14ac:dyDescent="0.3">
      <c r="A24" t="s">
        <v>4</v>
      </c>
      <c r="B24" s="1">
        <v>45850</v>
      </c>
      <c r="C24" t="s">
        <v>15</v>
      </c>
      <c r="D24">
        <v>2882</v>
      </c>
      <c r="E24">
        <v>0</v>
      </c>
      <c r="F24">
        <v>-2882</v>
      </c>
      <c r="G24" t="s">
        <v>15</v>
      </c>
      <c r="H24" t="s">
        <v>16</v>
      </c>
      <c r="I24" t="s">
        <v>12</v>
      </c>
    </row>
    <row r="25" spans="1:9" x14ac:dyDescent="0.3">
      <c r="A25" t="s">
        <v>9</v>
      </c>
      <c r="B25" s="1">
        <v>45850</v>
      </c>
      <c r="C25" t="s">
        <v>17</v>
      </c>
      <c r="D25">
        <v>4129</v>
      </c>
      <c r="E25">
        <v>0</v>
      </c>
      <c r="F25">
        <v>-4129</v>
      </c>
      <c r="G25" t="s">
        <v>17</v>
      </c>
      <c r="H25" t="s">
        <v>18</v>
      </c>
      <c r="I25" t="s">
        <v>12</v>
      </c>
    </row>
    <row r="26" spans="1:9" x14ac:dyDescent="0.3">
      <c r="A26" t="s">
        <v>4</v>
      </c>
      <c r="B26" s="1">
        <v>45850</v>
      </c>
      <c r="C26" t="s">
        <v>24</v>
      </c>
      <c r="D26">
        <v>0</v>
      </c>
      <c r="E26">
        <v>45622</v>
      </c>
      <c r="F26">
        <v>45622</v>
      </c>
      <c r="G26" t="s">
        <v>24</v>
      </c>
      <c r="H26" t="s">
        <v>23</v>
      </c>
      <c r="I26" t="s">
        <v>23</v>
      </c>
    </row>
    <row r="27" spans="1:9" x14ac:dyDescent="0.3">
      <c r="A27" t="s">
        <v>4</v>
      </c>
      <c r="B27" s="1">
        <v>45851</v>
      </c>
      <c r="C27" t="s">
        <v>19</v>
      </c>
      <c r="D27">
        <v>2209</v>
      </c>
      <c r="E27">
        <v>0</v>
      </c>
      <c r="F27">
        <v>-2209</v>
      </c>
      <c r="G27" t="s">
        <v>19</v>
      </c>
      <c r="H27" t="s">
        <v>16</v>
      </c>
      <c r="I27" t="s">
        <v>12</v>
      </c>
    </row>
    <row r="28" spans="1:9" x14ac:dyDescent="0.3">
      <c r="A28" t="s">
        <v>4</v>
      </c>
      <c r="B28" s="1">
        <v>45851</v>
      </c>
      <c r="C28" t="s">
        <v>15</v>
      </c>
      <c r="D28">
        <v>2706</v>
      </c>
      <c r="E28">
        <v>0</v>
      </c>
      <c r="F28">
        <v>-2706</v>
      </c>
      <c r="G28" t="s">
        <v>15</v>
      </c>
      <c r="H28" t="s">
        <v>16</v>
      </c>
      <c r="I28" t="s">
        <v>12</v>
      </c>
    </row>
    <row r="29" spans="1:9" x14ac:dyDescent="0.3">
      <c r="A29" t="s">
        <v>9</v>
      </c>
      <c r="B29" s="1">
        <v>45851</v>
      </c>
      <c r="C29" t="s">
        <v>27</v>
      </c>
      <c r="D29">
        <v>2760</v>
      </c>
      <c r="E29">
        <v>0</v>
      </c>
      <c r="F29">
        <v>-2760</v>
      </c>
      <c r="G29" t="s">
        <v>27</v>
      </c>
      <c r="H29" t="s">
        <v>11</v>
      </c>
      <c r="I29" t="s">
        <v>12</v>
      </c>
    </row>
    <row r="30" spans="1:9" x14ac:dyDescent="0.3">
      <c r="A30" t="s">
        <v>4</v>
      </c>
      <c r="B30" s="1">
        <v>45852</v>
      </c>
      <c r="C30" t="s">
        <v>27</v>
      </c>
      <c r="D30">
        <v>942</v>
      </c>
      <c r="E30">
        <v>0</v>
      </c>
      <c r="F30">
        <v>-942</v>
      </c>
      <c r="G30" t="s">
        <v>27</v>
      </c>
      <c r="H30" t="s">
        <v>11</v>
      </c>
      <c r="I30" t="s">
        <v>12</v>
      </c>
    </row>
    <row r="31" spans="1:9" x14ac:dyDescent="0.3">
      <c r="A31" t="s">
        <v>9</v>
      </c>
      <c r="B31" s="1">
        <v>45853</v>
      </c>
      <c r="C31" t="s">
        <v>19</v>
      </c>
      <c r="D31">
        <v>5278</v>
      </c>
      <c r="E31">
        <v>0</v>
      </c>
      <c r="F31">
        <v>-5278</v>
      </c>
      <c r="G31" t="s">
        <v>19</v>
      </c>
      <c r="H31" t="s">
        <v>16</v>
      </c>
      <c r="I31" t="s">
        <v>12</v>
      </c>
    </row>
    <row r="32" spans="1:9" x14ac:dyDescent="0.3">
      <c r="A32" t="s">
        <v>4</v>
      </c>
      <c r="B32" s="1">
        <v>45854</v>
      </c>
      <c r="C32" t="s">
        <v>26</v>
      </c>
      <c r="D32">
        <v>1563</v>
      </c>
      <c r="E32">
        <v>0</v>
      </c>
      <c r="F32">
        <v>-1563</v>
      </c>
      <c r="G32" t="s">
        <v>26</v>
      </c>
      <c r="H32" t="s">
        <v>18</v>
      </c>
      <c r="I32" t="s">
        <v>12</v>
      </c>
    </row>
    <row r="33" spans="1:9" x14ac:dyDescent="0.3">
      <c r="A33" t="s">
        <v>9</v>
      </c>
      <c r="B33" s="1">
        <v>45855</v>
      </c>
      <c r="C33" t="s">
        <v>20</v>
      </c>
      <c r="D33">
        <v>3247</v>
      </c>
      <c r="E33">
        <v>0</v>
      </c>
      <c r="F33">
        <v>-3247</v>
      </c>
      <c r="G33" t="s">
        <v>20</v>
      </c>
      <c r="H33" t="s">
        <v>21</v>
      </c>
      <c r="I33" t="s">
        <v>12</v>
      </c>
    </row>
    <row r="34" spans="1:9" x14ac:dyDescent="0.3">
      <c r="A34" t="s">
        <v>9</v>
      </c>
      <c r="B34" s="1">
        <v>45855</v>
      </c>
      <c r="C34" t="s">
        <v>19</v>
      </c>
      <c r="D34">
        <v>871</v>
      </c>
      <c r="E34">
        <v>0</v>
      </c>
      <c r="F34">
        <v>-871</v>
      </c>
      <c r="G34" t="s">
        <v>19</v>
      </c>
      <c r="H34" t="s">
        <v>16</v>
      </c>
      <c r="I34" t="s">
        <v>12</v>
      </c>
    </row>
    <row r="35" spans="1:9" x14ac:dyDescent="0.3">
      <c r="A35" t="s">
        <v>4</v>
      </c>
      <c r="B35" s="1">
        <v>45856</v>
      </c>
      <c r="C35" t="s">
        <v>19</v>
      </c>
      <c r="D35">
        <v>7941</v>
      </c>
      <c r="E35">
        <v>0</v>
      </c>
      <c r="F35">
        <v>-7941</v>
      </c>
      <c r="G35" t="s">
        <v>19</v>
      </c>
      <c r="H35" t="s">
        <v>16</v>
      </c>
      <c r="I35" t="s">
        <v>12</v>
      </c>
    </row>
    <row r="36" spans="1:9" x14ac:dyDescent="0.3">
      <c r="A36" t="s">
        <v>9</v>
      </c>
      <c r="B36" s="1">
        <v>45856</v>
      </c>
      <c r="C36" t="s">
        <v>10</v>
      </c>
      <c r="D36">
        <v>2152</v>
      </c>
      <c r="E36">
        <v>0</v>
      </c>
      <c r="F36">
        <v>-2152</v>
      </c>
      <c r="G36" t="s">
        <v>10</v>
      </c>
      <c r="H36" t="s">
        <v>11</v>
      </c>
      <c r="I36" t="s">
        <v>12</v>
      </c>
    </row>
    <row r="37" spans="1:9" x14ac:dyDescent="0.3">
      <c r="A37" t="s">
        <v>4</v>
      </c>
      <c r="B37" s="1">
        <v>45856</v>
      </c>
      <c r="C37" t="s">
        <v>15</v>
      </c>
      <c r="D37">
        <v>1487</v>
      </c>
      <c r="E37">
        <v>0</v>
      </c>
      <c r="F37">
        <v>-1487</v>
      </c>
      <c r="G37" t="s">
        <v>15</v>
      </c>
      <c r="H37" t="s">
        <v>16</v>
      </c>
      <c r="I37" t="s">
        <v>12</v>
      </c>
    </row>
    <row r="38" spans="1:9" x14ac:dyDescent="0.3">
      <c r="A38" t="s">
        <v>4</v>
      </c>
      <c r="B38" s="1">
        <v>45857</v>
      </c>
      <c r="C38" t="s">
        <v>15</v>
      </c>
      <c r="D38">
        <v>3778</v>
      </c>
      <c r="E38">
        <v>0</v>
      </c>
      <c r="F38">
        <v>-3778</v>
      </c>
      <c r="G38" t="s">
        <v>15</v>
      </c>
      <c r="H38" t="s">
        <v>16</v>
      </c>
      <c r="I38" t="s">
        <v>12</v>
      </c>
    </row>
    <row r="39" spans="1:9" x14ac:dyDescent="0.3">
      <c r="A39" t="s">
        <v>4</v>
      </c>
      <c r="B39" s="1">
        <v>45857</v>
      </c>
      <c r="C39" t="s">
        <v>27</v>
      </c>
      <c r="D39">
        <v>5669</v>
      </c>
      <c r="E39">
        <v>0</v>
      </c>
      <c r="F39">
        <v>-5669</v>
      </c>
      <c r="G39" t="s">
        <v>27</v>
      </c>
      <c r="H39" t="s">
        <v>11</v>
      </c>
      <c r="I39" t="s">
        <v>12</v>
      </c>
    </row>
    <row r="40" spans="1:9" x14ac:dyDescent="0.3">
      <c r="A40" t="s">
        <v>4</v>
      </c>
      <c r="B40" s="1">
        <v>45858</v>
      </c>
      <c r="C40" t="s">
        <v>26</v>
      </c>
      <c r="D40">
        <v>1743</v>
      </c>
      <c r="E40">
        <v>0</v>
      </c>
      <c r="F40">
        <v>-1743</v>
      </c>
      <c r="G40" t="s">
        <v>26</v>
      </c>
      <c r="H40" t="s">
        <v>18</v>
      </c>
      <c r="I40" t="s">
        <v>12</v>
      </c>
    </row>
    <row r="41" spans="1:9" x14ac:dyDescent="0.3">
      <c r="A41" t="s">
        <v>9</v>
      </c>
      <c r="B41" s="1">
        <v>45859</v>
      </c>
      <c r="C41" t="s">
        <v>17</v>
      </c>
      <c r="D41">
        <v>3072</v>
      </c>
      <c r="E41">
        <v>0</v>
      </c>
      <c r="F41">
        <v>-3072</v>
      </c>
      <c r="G41" t="s">
        <v>17</v>
      </c>
      <c r="H41" t="s">
        <v>18</v>
      </c>
      <c r="I41" t="s">
        <v>12</v>
      </c>
    </row>
    <row r="42" spans="1:9" x14ac:dyDescent="0.3">
      <c r="A42" t="s">
        <v>4</v>
      </c>
      <c r="B42" s="1">
        <v>45860</v>
      </c>
      <c r="C42" t="s">
        <v>17</v>
      </c>
      <c r="D42">
        <v>813</v>
      </c>
      <c r="E42">
        <v>0</v>
      </c>
      <c r="F42">
        <v>-813</v>
      </c>
      <c r="G42" t="s">
        <v>17</v>
      </c>
      <c r="H42" t="s">
        <v>18</v>
      </c>
      <c r="I42" t="s">
        <v>12</v>
      </c>
    </row>
    <row r="43" spans="1:9" x14ac:dyDescent="0.3">
      <c r="A43" t="s">
        <v>9</v>
      </c>
      <c r="B43" s="1">
        <v>45861</v>
      </c>
      <c r="C43" t="s">
        <v>15</v>
      </c>
      <c r="D43">
        <v>5179</v>
      </c>
      <c r="E43">
        <v>0</v>
      </c>
      <c r="F43">
        <v>-5179</v>
      </c>
      <c r="G43" t="s">
        <v>15</v>
      </c>
      <c r="H43" t="s">
        <v>16</v>
      </c>
      <c r="I43" t="s">
        <v>12</v>
      </c>
    </row>
    <row r="44" spans="1:9" x14ac:dyDescent="0.3">
      <c r="A44" t="s">
        <v>4</v>
      </c>
      <c r="B44" s="1">
        <v>45862</v>
      </c>
      <c r="C44" t="s">
        <v>10</v>
      </c>
      <c r="D44">
        <v>262</v>
      </c>
      <c r="E44">
        <v>0</v>
      </c>
      <c r="F44">
        <v>-262</v>
      </c>
      <c r="G44" t="s">
        <v>10</v>
      </c>
      <c r="H44" t="s">
        <v>11</v>
      </c>
      <c r="I44" t="s">
        <v>12</v>
      </c>
    </row>
    <row r="45" spans="1:9" x14ac:dyDescent="0.3">
      <c r="A45" t="s">
        <v>9</v>
      </c>
      <c r="B45" s="1">
        <v>45862</v>
      </c>
      <c r="C45" t="s">
        <v>26</v>
      </c>
      <c r="D45">
        <v>2731</v>
      </c>
      <c r="E45">
        <v>0</v>
      </c>
      <c r="F45">
        <v>-2731</v>
      </c>
      <c r="G45" t="s">
        <v>26</v>
      </c>
      <c r="H45" t="s">
        <v>18</v>
      </c>
      <c r="I45" t="s">
        <v>12</v>
      </c>
    </row>
    <row r="46" spans="1:9" x14ac:dyDescent="0.3">
      <c r="A46" t="s">
        <v>4</v>
      </c>
      <c r="B46" s="1">
        <v>45862</v>
      </c>
      <c r="C46" t="s">
        <v>17</v>
      </c>
      <c r="D46">
        <v>3231</v>
      </c>
      <c r="E46">
        <v>0</v>
      </c>
      <c r="F46">
        <v>-3231</v>
      </c>
      <c r="G46" t="s">
        <v>17</v>
      </c>
      <c r="H46" t="s">
        <v>18</v>
      </c>
      <c r="I46" t="s">
        <v>12</v>
      </c>
    </row>
    <row r="47" spans="1:9" x14ac:dyDescent="0.3">
      <c r="A47" t="s">
        <v>4</v>
      </c>
      <c r="B47" s="1">
        <v>45863</v>
      </c>
      <c r="C47" t="s">
        <v>24</v>
      </c>
      <c r="D47">
        <v>0</v>
      </c>
      <c r="E47">
        <v>9221</v>
      </c>
      <c r="F47">
        <v>9221</v>
      </c>
      <c r="G47" t="s">
        <v>24</v>
      </c>
      <c r="H47" t="s">
        <v>23</v>
      </c>
      <c r="I47" t="s">
        <v>23</v>
      </c>
    </row>
    <row r="48" spans="1:9" x14ac:dyDescent="0.3">
      <c r="A48" t="s">
        <v>4</v>
      </c>
      <c r="B48" s="1">
        <v>45864</v>
      </c>
      <c r="C48" t="s">
        <v>15</v>
      </c>
      <c r="D48">
        <v>7429</v>
      </c>
      <c r="E48">
        <v>0</v>
      </c>
      <c r="F48">
        <v>-7429</v>
      </c>
      <c r="G48" t="s">
        <v>15</v>
      </c>
      <c r="H48" t="s">
        <v>16</v>
      </c>
      <c r="I48" t="s">
        <v>12</v>
      </c>
    </row>
    <row r="49" spans="1:9" x14ac:dyDescent="0.3">
      <c r="A49" t="s">
        <v>9</v>
      </c>
      <c r="B49" s="1">
        <v>45864</v>
      </c>
      <c r="C49" t="s">
        <v>13</v>
      </c>
      <c r="D49">
        <v>7438</v>
      </c>
      <c r="E49">
        <v>0</v>
      </c>
      <c r="F49">
        <v>-7438</v>
      </c>
      <c r="G49" t="s">
        <v>13</v>
      </c>
      <c r="H49" t="s">
        <v>14</v>
      </c>
      <c r="I49" t="s">
        <v>12</v>
      </c>
    </row>
    <row r="50" spans="1:9" x14ac:dyDescent="0.3">
      <c r="A50" t="s">
        <v>9</v>
      </c>
      <c r="B50" s="1">
        <v>45865</v>
      </c>
      <c r="C50" t="s">
        <v>26</v>
      </c>
      <c r="D50">
        <v>3769</v>
      </c>
      <c r="E50">
        <v>0</v>
      </c>
      <c r="F50">
        <v>-3769</v>
      </c>
      <c r="G50" t="s">
        <v>26</v>
      </c>
      <c r="H50" t="s">
        <v>18</v>
      </c>
      <c r="I50" t="s">
        <v>12</v>
      </c>
    </row>
    <row r="51" spans="1:9" x14ac:dyDescent="0.3">
      <c r="A51" t="s">
        <v>9</v>
      </c>
      <c r="B51" s="1">
        <v>45865</v>
      </c>
      <c r="C51" t="s">
        <v>27</v>
      </c>
      <c r="D51">
        <v>688</v>
      </c>
      <c r="E51">
        <v>0</v>
      </c>
      <c r="F51">
        <v>-688</v>
      </c>
      <c r="G51" t="s">
        <v>27</v>
      </c>
      <c r="H51" t="s">
        <v>11</v>
      </c>
      <c r="I51" t="s">
        <v>12</v>
      </c>
    </row>
    <row r="52" spans="1:9" x14ac:dyDescent="0.3">
      <c r="A52" t="s">
        <v>4</v>
      </c>
      <c r="B52" s="1">
        <v>45865</v>
      </c>
      <c r="C52" t="s">
        <v>13</v>
      </c>
      <c r="D52">
        <v>5764</v>
      </c>
      <c r="E52">
        <v>0</v>
      </c>
      <c r="F52">
        <v>-5764</v>
      </c>
      <c r="G52" t="s">
        <v>13</v>
      </c>
      <c r="H52" t="s">
        <v>14</v>
      </c>
      <c r="I52" t="s">
        <v>12</v>
      </c>
    </row>
    <row r="53" spans="1:9" x14ac:dyDescent="0.3">
      <c r="A53" t="s">
        <v>4</v>
      </c>
      <c r="B53" s="1">
        <v>45866</v>
      </c>
      <c r="C53" t="s">
        <v>27</v>
      </c>
      <c r="D53">
        <v>2409</v>
      </c>
      <c r="E53">
        <v>0</v>
      </c>
      <c r="F53">
        <v>-2409</v>
      </c>
      <c r="G53" t="s">
        <v>27</v>
      </c>
      <c r="H53" t="s">
        <v>11</v>
      </c>
      <c r="I53" t="s">
        <v>12</v>
      </c>
    </row>
    <row r="54" spans="1:9" x14ac:dyDescent="0.3">
      <c r="A54" t="s">
        <v>4</v>
      </c>
      <c r="B54" s="1">
        <v>45866</v>
      </c>
      <c r="C54" t="s">
        <v>22</v>
      </c>
      <c r="D54">
        <v>0</v>
      </c>
      <c r="E54">
        <v>47941</v>
      </c>
      <c r="F54">
        <v>47941</v>
      </c>
      <c r="G54" t="s">
        <v>22</v>
      </c>
      <c r="H54" t="s">
        <v>23</v>
      </c>
      <c r="I54" t="s">
        <v>23</v>
      </c>
    </row>
    <row r="55" spans="1:9" x14ac:dyDescent="0.3">
      <c r="A55" t="s">
        <v>9</v>
      </c>
      <c r="B55" s="1">
        <v>45867</v>
      </c>
      <c r="C55" t="s">
        <v>26</v>
      </c>
      <c r="D55">
        <v>1726</v>
      </c>
      <c r="E55">
        <v>0</v>
      </c>
      <c r="F55">
        <v>-1726</v>
      </c>
      <c r="G55" t="s">
        <v>26</v>
      </c>
      <c r="H55" t="s">
        <v>18</v>
      </c>
      <c r="I55" t="s">
        <v>12</v>
      </c>
    </row>
    <row r="56" spans="1:9" x14ac:dyDescent="0.3">
      <c r="A56" t="s">
        <v>9</v>
      </c>
      <c r="B56" s="1">
        <v>45867</v>
      </c>
      <c r="C56" t="s">
        <v>20</v>
      </c>
      <c r="D56">
        <v>2410</v>
      </c>
      <c r="E56">
        <v>0</v>
      </c>
      <c r="F56">
        <v>-2410</v>
      </c>
      <c r="G56" t="s">
        <v>20</v>
      </c>
      <c r="H56" t="s">
        <v>21</v>
      </c>
      <c r="I56" t="s">
        <v>12</v>
      </c>
    </row>
    <row r="57" spans="1:9" x14ac:dyDescent="0.3">
      <c r="A57" t="s">
        <v>9</v>
      </c>
      <c r="B57" s="1">
        <v>45867</v>
      </c>
      <c r="C57" t="s">
        <v>17</v>
      </c>
      <c r="D57">
        <v>4994</v>
      </c>
      <c r="E57">
        <v>0</v>
      </c>
      <c r="F57">
        <v>-4994</v>
      </c>
      <c r="G57" t="s">
        <v>17</v>
      </c>
      <c r="H57" t="s">
        <v>18</v>
      </c>
      <c r="I57" t="s">
        <v>12</v>
      </c>
    </row>
    <row r="58" spans="1:9" x14ac:dyDescent="0.3">
      <c r="A58" t="s">
        <v>4</v>
      </c>
      <c r="B58" s="1">
        <v>45868</v>
      </c>
      <c r="C58" t="s">
        <v>27</v>
      </c>
      <c r="D58">
        <v>465</v>
      </c>
      <c r="E58">
        <v>0</v>
      </c>
      <c r="F58">
        <v>-465</v>
      </c>
      <c r="G58" t="s">
        <v>27</v>
      </c>
      <c r="H58" t="s">
        <v>11</v>
      </c>
      <c r="I58" t="s">
        <v>12</v>
      </c>
    </row>
    <row r="59" spans="1:9" x14ac:dyDescent="0.3">
      <c r="A59" t="s">
        <v>4</v>
      </c>
      <c r="B59" s="1">
        <v>45868</v>
      </c>
      <c r="C59" t="s">
        <v>24</v>
      </c>
      <c r="D59">
        <v>0</v>
      </c>
      <c r="E59">
        <v>22412</v>
      </c>
      <c r="F59">
        <v>22412</v>
      </c>
      <c r="G59" t="s">
        <v>24</v>
      </c>
      <c r="H59" t="s">
        <v>23</v>
      </c>
      <c r="I59" t="s">
        <v>23</v>
      </c>
    </row>
    <row r="60" spans="1:9" x14ac:dyDescent="0.3">
      <c r="A60" t="s">
        <v>9</v>
      </c>
      <c r="B60" s="1">
        <v>45869</v>
      </c>
      <c r="C60" t="s">
        <v>15</v>
      </c>
      <c r="D60">
        <v>841</v>
      </c>
      <c r="E60">
        <v>0</v>
      </c>
      <c r="F60">
        <v>-841</v>
      </c>
      <c r="G60" t="s">
        <v>15</v>
      </c>
      <c r="H60" t="s">
        <v>16</v>
      </c>
      <c r="I60" t="s">
        <v>12</v>
      </c>
    </row>
    <row r="61" spans="1:9" x14ac:dyDescent="0.3">
      <c r="A61" t="s">
        <v>9</v>
      </c>
      <c r="B61" s="1">
        <v>45870</v>
      </c>
      <c r="C61" t="s">
        <v>10</v>
      </c>
      <c r="D61">
        <v>4318</v>
      </c>
      <c r="E61">
        <v>0</v>
      </c>
      <c r="F61">
        <v>-4318</v>
      </c>
      <c r="G61" t="s">
        <v>10</v>
      </c>
      <c r="H61" t="s">
        <v>11</v>
      </c>
      <c r="I61" t="s">
        <v>12</v>
      </c>
    </row>
    <row r="62" spans="1:9" x14ac:dyDescent="0.3">
      <c r="A62" t="s">
        <v>4</v>
      </c>
      <c r="B62" s="1">
        <v>45870</v>
      </c>
      <c r="C62" t="s">
        <v>24</v>
      </c>
      <c r="D62">
        <v>0</v>
      </c>
      <c r="E62">
        <v>40901</v>
      </c>
      <c r="F62">
        <v>40901</v>
      </c>
      <c r="G62" t="s">
        <v>24</v>
      </c>
      <c r="H62" t="s">
        <v>23</v>
      </c>
      <c r="I62" t="s">
        <v>23</v>
      </c>
    </row>
    <row r="63" spans="1:9" x14ac:dyDescent="0.3">
      <c r="A63" t="s">
        <v>9</v>
      </c>
      <c r="B63" s="1">
        <v>45871</v>
      </c>
      <c r="C63" t="s">
        <v>17</v>
      </c>
      <c r="D63">
        <v>6013</v>
      </c>
      <c r="E63">
        <v>0</v>
      </c>
      <c r="F63">
        <v>-6013</v>
      </c>
      <c r="G63" t="s">
        <v>17</v>
      </c>
      <c r="H63" t="s">
        <v>18</v>
      </c>
      <c r="I63" t="s">
        <v>12</v>
      </c>
    </row>
    <row r="64" spans="1:9" x14ac:dyDescent="0.3">
      <c r="A64" t="s">
        <v>4</v>
      </c>
      <c r="B64" s="1">
        <v>45871</v>
      </c>
      <c r="C64" t="s">
        <v>27</v>
      </c>
      <c r="D64">
        <v>7279</v>
      </c>
      <c r="E64">
        <v>0</v>
      </c>
      <c r="F64">
        <v>-7279</v>
      </c>
      <c r="G64" t="s">
        <v>27</v>
      </c>
      <c r="H64" t="s">
        <v>11</v>
      </c>
      <c r="I64" t="s">
        <v>12</v>
      </c>
    </row>
    <row r="65" spans="1:9" x14ac:dyDescent="0.3">
      <c r="A65" t="s">
        <v>9</v>
      </c>
      <c r="B65" s="1">
        <v>45871</v>
      </c>
      <c r="C65" t="s">
        <v>19</v>
      </c>
      <c r="D65">
        <v>5766</v>
      </c>
      <c r="E65">
        <v>0</v>
      </c>
      <c r="F65">
        <v>-5766</v>
      </c>
      <c r="G65" t="s">
        <v>19</v>
      </c>
      <c r="H65" t="s">
        <v>16</v>
      </c>
      <c r="I65" t="s">
        <v>12</v>
      </c>
    </row>
    <row r="66" spans="1:9" x14ac:dyDescent="0.3">
      <c r="A66" t="s">
        <v>9</v>
      </c>
      <c r="B66" s="1">
        <v>45872</v>
      </c>
      <c r="C66" t="s">
        <v>22</v>
      </c>
      <c r="D66">
        <v>0</v>
      </c>
      <c r="E66">
        <v>31568</v>
      </c>
      <c r="F66">
        <v>31568</v>
      </c>
      <c r="G66" t="s">
        <v>22</v>
      </c>
      <c r="H66" t="s">
        <v>23</v>
      </c>
      <c r="I66" t="s">
        <v>23</v>
      </c>
    </row>
    <row r="67" spans="1:9" x14ac:dyDescent="0.3">
      <c r="A67" t="s">
        <v>4</v>
      </c>
      <c r="B67" s="1">
        <v>45872</v>
      </c>
      <c r="C67" t="s">
        <v>20</v>
      </c>
      <c r="D67">
        <v>292</v>
      </c>
      <c r="E67">
        <v>0</v>
      </c>
      <c r="F67">
        <v>-292</v>
      </c>
      <c r="G67" t="s">
        <v>20</v>
      </c>
      <c r="H67" t="s">
        <v>21</v>
      </c>
      <c r="I67" t="s">
        <v>12</v>
      </c>
    </row>
    <row r="68" spans="1:9" x14ac:dyDescent="0.3">
      <c r="A68" t="s">
        <v>9</v>
      </c>
      <c r="B68" s="1">
        <v>45873</v>
      </c>
      <c r="C68" t="s">
        <v>19</v>
      </c>
      <c r="D68">
        <v>5174</v>
      </c>
      <c r="E68">
        <v>0</v>
      </c>
      <c r="F68">
        <v>-5174</v>
      </c>
      <c r="G68" t="s">
        <v>19</v>
      </c>
      <c r="H68" t="s">
        <v>16</v>
      </c>
      <c r="I68" t="s">
        <v>12</v>
      </c>
    </row>
    <row r="69" spans="1:9" x14ac:dyDescent="0.3">
      <c r="A69" t="s">
        <v>4</v>
      </c>
      <c r="B69" s="1">
        <v>45873</v>
      </c>
      <c r="C69" t="s">
        <v>24</v>
      </c>
      <c r="D69">
        <v>0</v>
      </c>
      <c r="E69">
        <v>16582</v>
      </c>
      <c r="F69">
        <v>16582</v>
      </c>
      <c r="G69" t="s">
        <v>24</v>
      </c>
      <c r="H69" t="s">
        <v>23</v>
      </c>
      <c r="I69" t="s">
        <v>23</v>
      </c>
    </row>
    <row r="70" spans="1:9" x14ac:dyDescent="0.3">
      <c r="A70" t="s">
        <v>4</v>
      </c>
      <c r="B70" s="1">
        <v>45873</v>
      </c>
      <c r="C70" t="s">
        <v>10</v>
      </c>
      <c r="D70">
        <v>2054</v>
      </c>
      <c r="E70">
        <v>0</v>
      </c>
      <c r="F70">
        <v>-2054</v>
      </c>
      <c r="G70" t="s">
        <v>10</v>
      </c>
      <c r="H70" t="s">
        <v>11</v>
      </c>
      <c r="I70" t="s">
        <v>12</v>
      </c>
    </row>
    <row r="71" spans="1:9" x14ac:dyDescent="0.3">
      <c r="A71" t="s">
        <v>4</v>
      </c>
      <c r="B71" s="1">
        <v>45874</v>
      </c>
      <c r="C71" t="s">
        <v>13</v>
      </c>
      <c r="D71">
        <v>6261</v>
      </c>
      <c r="E71">
        <v>0</v>
      </c>
      <c r="F71">
        <v>-6261</v>
      </c>
      <c r="G71" t="s">
        <v>13</v>
      </c>
      <c r="H71" t="s">
        <v>14</v>
      </c>
      <c r="I71" t="s">
        <v>12</v>
      </c>
    </row>
    <row r="72" spans="1:9" x14ac:dyDescent="0.3">
      <c r="A72" t="s">
        <v>4</v>
      </c>
      <c r="B72" s="1">
        <v>45875</v>
      </c>
      <c r="C72" t="s">
        <v>26</v>
      </c>
      <c r="D72">
        <v>2165</v>
      </c>
      <c r="E72">
        <v>0</v>
      </c>
      <c r="F72">
        <v>-2165</v>
      </c>
      <c r="G72" t="s">
        <v>26</v>
      </c>
      <c r="H72" t="s">
        <v>18</v>
      </c>
      <c r="I72" t="s">
        <v>12</v>
      </c>
    </row>
    <row r="73" spans="1:9" x14ac:dyDescent="0.3">
      <c r="A73" t="s">
        <v>9</v>
      </c>
      <c r="B73" s="1">
        <v>45875</v>
      </c>
      <c r="C73" t="s">
        <v>20</v>
      </c>
      <c r="D73">
        <v>4622</v>
      </c>
      <c r="E73">
        <v>0</v>
      </c>
      <c r="F73">
        <v>-4622</v>
      </c>
      <c r="G73" t="s">
        <v>20</v>
      </c>
      <c r="H73" t="s">
        <v>21</v>
      </c>
      <c r="I73" t="s">
        <v>12</v>
      </c>
    </row>
    <row r="74" spans="1:9" x14ac:dyDescent="0.3">
      <c r="A74" t="s">
        <v>4</v>
      </c>
      <c r="B74" s="1">
        <v>45875</v>
      </c>
      <c r="C74" t="s">
        <v>27</v>
      </c>
      <c r="D74">
        <v>421</v>
      </c>
      <c r="E74">
        <v>0</v>
      </c>
      <c r="F74">
        <v>-421</v>
      </c>
      <c r="G74" t="s">
        <v>27</v>
      </c>
      <c r="H74" t="s">
        <v>11</v>
      </c>
      <c r="I74" t="s">
        <v>12</v>
      </c>
    </row>
    <row r="75" spans="1:9" x14ac:dyDescent="0.3">
      <c r="A75" t="s">
        <v>9</v>
      </c>
      <c r="B75" s="1">
        <v>45876</v>
      </c>
      <c r="C75" t="s">
        <v>10</v>
      </c>
      <c r="D75">
        <v>6276</v>
      </c>
      <c r="E75">
        <v>0</v>
      </c>
      <c r="F75">
        <v>-6276</v>
      </c>
      <c r="G75" t="s">
        <v>10</v>
      </c>
      <c r="H75" t="s">
        <v>11</v>
      </c>
      <c r="I75" t="s">
        <v>12</v>
      </c>
    </row>
    <row r="76" spans="1:9" x14ac:dyDescent="0.3">
      <c r="A76" t="s">
        <v>4</v>
      </c>
      <c r="B76" s="1">
        <v>45876</v>
      </c>
      <c r="C76" t="s">
        <v>24</v>
      </c>
      <c r="D76">
        <v>0</v>
      </c>
      <c r="E76">
        <v>25405</v>
      </c>
      <c r="F76">
        <v>25405</v>
      </c>
      <c r="G76" t="s">
        <v>24</v>
      </c>
      <c r="H76" t="s">
        <v>23</v>
      </c>
      <c r="I76" t="s">
        <v>23</v>
      </c>
    </row>
    <row r="77" spans="1:9" x14ac:dyDescent="0.3">
      <c r="A77" t="s">
        <v>9</v>
      </c>
      <c r="B77" s="1">
        <v>45877</v>
      </c>
      <c r="C77" t="s">
        <v>24</v>
      </c>
      <c r="D77">
        <v>0</v>
      </c>
      <c r="E77">
        <v>33804</v>
      </c>
      <c r="F77">
        <v>33804</v>
      </c>
      <c r="G77" t="s">
        <v>24</v>
      </c>
      <c r="H77" t="s">
        <v>23</v>
      </c>
      <c r="I77" t="s">
        <v>23</v>
      </c>
    </row>
    <row r="78" spans="1:9" x14ac:dyDescent="0.3">
      <c r="A78" t="s">
        <v>4</v>
      </c>
      <c r="B78" s="1">
        <v>45878</v>
      </c>
      <c r="C78" t="s">
        <v>13</v>
      </c>
      <c r="D78">
        <v>6355</v>
      </c>
      <c r="E78">
        <v>0</v>
      </c>
      <c r="F78">
        <v>-6355</v>
      </c>
      <c r="G78" t="s">
        <v>13</v>
      </c>
      <c r="H78" t="s">
        <v>14</v>
      </c>
      <c r="I78" t="s">
        <v>12</v>
      </c>
    </row>
    <row r="79" spans="1:9" x14ac:dyDescent="0.3">
      <c r="A79" t="s">
        <v>9</v>
      </c>
      <c r="B79" s="1">
        <v>45879</v>
      </c>
      <c r="C79" t="s">
        <v>19</v>
      </c>
      <c r="D79">
        <v>1710</v>
      </c>
      <c r="E79">
        <v>0</v>
      </c>
      <c r="F79">
        <v>-1710</v>
      </c>
      <c r="G79" t="s">
        <v>19</v>
      </c>
      <c r="H79" t="s">
        <v>16</v>
      </c>
      <c r="I79" t="s">
        <v>12</v>
      </c>
    </row>
    <row r="80" spans="1:9" x14ac:dyDescent="0.3">
      <c r="A80" t="s">
        <v>4</v>
      </c>
      <c r="B80" s="1">
        <v>45879</v>
      </c>
      <c r="C80" t="s">
        <v>10</v>
      </c>
      <c r="D80">
        <v>4210</v>
      </c>
      <c r="E80">
        <v>0</v>
      </c>
      <c r="F80">
        <v>-4210</v>
      </c>
      <c r="G80" t="s">
        <v>10</v>
      </c>
      <c r="H80" t="s">
        <v>11</v>
      </c>
      <c r="I80" t="s">
        <v>12</v>
      </c>
    </row>
    <row r="81" spans="1:9" x14ac:dyDescent="0.3">
      <c r="A81" t="s">
        <v>9</v>
      </c>
      <c r="B81" s="1">
        <v>45879</v>
      </c>
      <c r="C81" t="s">
        <v>13</v>
      </c>
      <c r="D81">
        <v>1886</v>
      </c>
      <c r="E81">
        <v>0</v>
      </c>
      <c r="F81">
        <v>-1886</v>
      </c>
      <c r="G81" t="s">
        <v>13</v>
      </c>
      <c r="H81" t="s">
        <v>14</v>
      </c>
      <c r="I81" t="s">
        <v>12</v>
      </c>
    </row>
    <row r="82" spans="1:9" x14ac:dyDescent="0.3">
      <c r="A82" t="s">
        <v>4</v>
      </c>
      <c r="B82" s="1">
        <v>45880</v>
      </c>
      <c r="C82" t="s">
        <v>24</v>
      </c>
      <c r="D82">
        <v>0</v>
      </c>
      <c r="E82">
        <v>34855</v>
      </c>
      <c r="F82">
        <v>34855</v>
      </c>
      <c r="G82" t="s">
        <v>24</v>
      </c>
      <c r="H82" t="s">
        <v>23</v>
      </c>
      <c r="I82" t="s">
        <v>23</v>
      </c>
    </row>
    <row r="83" spans="1:9" x14ac:dyDescent="0.3">
      <c r="A83" t="s">
        <v>9</v>
      </c>
      <c r="B83" s="1">
        <v>45881</v>
      </c>
      <c r="C83" t="s">
        <v>10</v>
      </c>
      <c r="D83">
        <v>1498</v>
      </c>
      <c r="E83">
        <v>0</v>
      </c>
      <c r="F83">
        <v>-1498</v>
      </c>
      <c r="G83" t="s">
        <v>10</v>
      </c>
      <c r="H83" t="s">
        <v>11</v>
      </c>
      <c r="I83" t="s">
        <v>12</v>
      </c>
    </row>
    <row r="84" spans="1:9" x14ac:dyDescent="0.3">
      <c r="A84" t="s">
        <v>4</v>
      </c>
      <c r="B84" s="1">
        <v>45882</v>
      </c>
      <c r="C84" t="s">
        <v>17</v>
      </c>
      <c r="D84">
        <v>230</v>
      </c>
      <c r="E84">
        <v>0</v>
      </c>
      <c r="F84">
        <v>-230</v>
      </c>
      <c r="G84" t="s">
        <v>17</v>
      </c>
      <c r="H84" t="s">
        <v>18</v>
      </c>
      <c r="I84" t="s">
        <v>12</v>
      </c>
    </row>
    <row r="85" spans="1:9" x14ac:dyDescent="0.3">
      <c r="A85" t="s">
        <v>4</v>
      </c>
      <c r="B85" s="1">
        <v>45883</v>
      </c>
      <c r="C85" t="s">
        <v>13</v>
      </c>
      <c r="D85">
        <v>1813</v>
      </c>
      <c r="E85">
        <v>0</v>
      </c>
      <c r="F85">
        <v>-1813</v>
      </c>
      <c r="G85" t="s">
        <v>13</v>
      </c>
      <c r="H85" t="s">
        <v>14</v>
      </c>
      <c r="I85" t="s">
        <v>12</v>
      </c>
    </row>
    <row r="86" spans="1:9" x14ac:dyDescent="0.3">
      <c r="A86" t="s">
        <v>4</v>
      </c>
      <c r="B86" s="1">
        <v>45883</v>
      </c>
      <c r="C86" t="s">
        <v>17</v>
      </c>
      <c r="D86">
        <v>421</v>
      </c>
      <c r="E86">
        <v>0</v>
      </c>
      <c r="F86">
        <v>-421</v>
      </c>
      <c r="G86" t="s">
        <v>17</v>
      </c>
      <c r="H86" t="s">
        <v>18</v>
      </c>
      <c r="I86" t="s">
        <v>12</v>
      </c>
    </row>
    <row r="87" spans="1:9" x14ac:dyDescent="0.3">
      <c r="A87" t="s">
        <v>9</v>
      </c>
      <c r="B87" s="1">
        <v>45884</v>
      </c>
      <c r="C87" t="s">
        <v>13</v>
      </c>
      <c r="D87">
        <v>2934</v>
      </c>
      <c r="E87">
        <v>0</v>
      </c>
      <c r="F87">
        <v>-2934</v>
      </c>
      <c r="G87" t="s">
        <v>13</v>
      </c>
      <c r="H87" t="s">
        <v>14</v>
      </c>
      <c r="I87" t="s">
        <v>12</v>
      </c>
    </row>
    <row r="88" spans="1:9" x14ac:dyDescent="0.3">
      <c r="A88" t="s">
        <v>4</v>
      </c>
      <c r="B88" s="1">
        <v>45885</v>
      </c>
      <c r="C88" t="s">
        <v>13</v>
      </c>
      <c r="D88">
        <v>5102</v>
      </c>
      <c r="E88">
        <v>0</v>
      </c>
      <c r="F88">
        <v>-5102</v>
      </c>
      <c r="G88" t="s">
        <v>13</v>
      </c>
      <c r="H88" t="s">
        <v>14</v>
      </c>
      <c r="I88" t="s">
        <v>12</v>
      </c>
    </row>
    <row r="89" spans="1:9" x14ac:dyDescent="0.3">
      <c r="A89" t="s">
        <v>9</v>
      </c>
      <c r="B89" s="1">
        <v>45885</v>
      </c>
      <c r="C89" t="s">
        <v>19</v>
      </c>
      <c r="D89">
        <v>6354</v>
      </c>
      <c r="E89">
        <v>0</v>
      </c>
      <c r="F89">
        <v>-6354</v>
      </c>
      <c r="G89" t="s">
        <v>19</v>
      </c>
      <c r="H89" t="s">
        <v>16</v>
      </c>
      <c r="I89" t="s">
        <v>12</v>
      </c>
    </row>
    <row r="90" spans="1:9" x14ac:dyDescent="0.3">
      <c r="A90" t="s">
        <v>4</v>
      </c>
      <c r="B90" s="1">
        <v>45885</v>
      </c>
      <c r="C90" t="s">
        <v>24</v>
      </c>
      <c r="D90">
        <v>0</v>
      </c>
      <c r="E90">
        <v>36067</v>
      </c>
      <c r="F90">
        <v>36067</v>
      </c>
      <c r="G90" t="s">
        <v>24</v>
      </c>
      <c r="H90" t="s">
        <v>23</v>
      </c>
      <c r="I90" t="s">
        <v>23</v>
      </c>
    </row>
    <row r="91" spans="1:9" x14ac:dyDescent="0.3">
      <c r="A91" t="s">
        <v>9</v>
      </c>
      <c r="B91" s="1">
        <v>45886</v>
      </c>
      <c r="C91" t="s">
        <v>20</v>
      </c>
      <c r="D91">
        <v>7495</v>
      </c>
      <c r="E91">
        <v>0</v>
      </c>
      <c r="F91">
        <v>-7495</v>
      </c>
      <c r="G91" t="s">
        <v>20</v>
      </c>
      <c r="H91" t="s">
        <v>21</v>
      </c>
      <c r="I91" t="s">
        <v>12</v>
      </c>
    </row>
    <row r="92" spans="1:9" x14ac:dyDescent="0.3">
      <c r="A92" t="s">
        <v>4</v>
      </c>
      <c r="B92" s="1">
        <v>45886</v>
      </c>
      <c r="C92" t="s">
        <v>10</v>
      </c>
      <c r="D92">
        <v>5391</v>
      </c>
      <c r="E92">
        <v>0</v>
      </c>
      <c r="F92">
        <v>-5391</v>
      </c>
      <c r="G92" t="s">
        <v>10</v>
      </c>
      <c r="H92" t="s">
        <v>11</v>
      </c>
      <c r="I92" t="s">
        <v>12</v>
      </c>
    </row>
    <row r="93" spans="1:9" x14ac:dyDescent="0.3">
      <c r="A93" t="s">
        <v>4</v>
      </c>
      <c r="B93" s="1">
        <v>45886</v>
      </c>
      <c r="C93" t="s">
        <v>25</v>
      </c>
      <c r="D93">
        <v>0</v>
      </c>
      <c r="E93">
        <v>46439</v>
      </c>
      <c r="F93">
        <v>46439</v>
      </c>
      <c r="G93" t="s">
        <v>25</v>
      </c>
      <c r="H93" t="s">
        <v>23</v>
      </c>
      <c r="I93" t="s">
        <v>23</v>
      </c>
    </row>
    <row r="94" spans="1:9" x14ac:dyDescent="0.3">
      <c r="A94" t="s">
        <v>9</v>
      </c>
      <c r="B94" s="1">
        <v>45887</v>
      </c>
      <c r="C94" t="s">
        <v>10</v>
      </c>
      <c r="D94">
        <v>1296</v>
      </c>
      <c r="E94">
        <v>0</v>
      </c>
      <c r="F94">
        <v>-1296</v>
      </c>
      <c r="G94" t="s">
        <v>10</v>
      </c>
      <c r="H94" t="s">
        <v>11</v>
      </c>
      <c r="I94" t="s">
        <v>12</v>
      </c>
    </row>
    <row r="95" spans="1:9" x14ac:dyDescent="0.3">
      <c r="A95" t="s">
        <v>4</v>
      </c>
      <c r="B95" s="1">
        <v>45887</v>
      </c>
      <c r="C95" t="s">
        <v>10</v>
      </c>
      <c r="D95">
        <v>463</v>
      </c>
      <c r="E95">
        <v>0</v>
      </c>
      <c r="F95">
        <v>-463</v>
      </c>
      <c r="G95" t="s">
        <v>10</v>
      </c>
      <c r="H95" t="s">
        <v>11</v>
      </c>
      <c r="I95" t="s">
        <v>12</v>
      </c>
    </row>
    <row r="96" spans="1:9" x14ac:dyDescent="0.3">
      <c r="A96" t="s">
        <v>4</v>
      </c>
      <c r="B96" s="1">
        <v>45888</v>
      </c>
      <c r="C96" t="s">
        <v>20</v>
      </c>
      <c r="D96">
        <v>275</v>
      </c>
      <c r="E96">
        <v>0</v>
      </c>
      <c r="F96">
        <v>-275</v>
      </c>
      <c r="G96" t="s">
        <v>20</v>
      </c>
      <c r="H96" t="s">
        <v>21</v>
      </c>
      <c r="I96" t="s">
        <v>12</v>
      </c>
    </row>
    <row r="97" spans="1:9" x14ac:dyDescent="0.3">
      <c r="A97" t="s">
        <v>9</v>
      </c>
      <c r="B97" s="1">
        <v>45888</v>
      </c>
      <c r="C97" t="s">
        <v>19</v>
      </c>
      <c r="D97">
        <v>673</v>
      </c>
      <c r="E97">
        <v>0</v>
      </c>
      <c r="F97">
        <v>-673</v>
      </c>
      <c r="G97" t="s">
        <v>19</v>
      </c>
      <c r="H97" t="s">
        <v>16</v>
      </c>
      <c r="I97" t="s">
        <v>12</v>
      </c>
    </row>
    <row r="98" spans="1:9" x14ac:dyDescent="0.3">
      <c r="A98" t="s">
        <v>4</v>
      </c>
      <c r="B98" s="1">
        <v>45889</v>
      </c>
      <c r="C98" t="s">
        <v>17</v>
      </c>
      <c r="D98">
        <v>1209</v>
      </c>
      <c r="E98">
        <v>0</v>
      </c>
      <c r="F98">
        <v>-1209</v>
      </c>
      <c r="G98" t="s">
        <v>17</v>
      </c>
      <c r="H98" t="s">
        <v>18</v>
      </c>
      <c r="I98" t="s">
        <v>12</v>
      </c>
    </row>
    <row r="99" spans="1:9" x14ac:dyDescent="0.3">
      <c r="A99" t="s">
        <v>9</v>
      </c>
      <c r="B99" s="1">
        <v>45889</v>
      </c>
      <c r="C99" t="s">
        <v>10</v>
      </c>
      <c r="D99">
        <v>5071</v>
      </c>
      <c r="E99">
        <v>0</v>
      </c>
      <c r="F99">
        <v>-5071</v>
      </c>
      <c r="G99" t="s">
        <v>10</v>
      </c>
      <c r="H99" t="s">
        <v>11</v>
      </c>
      <c r="I99" t="s">
        <v>12</v>
      </c>
    </row>
    <row r="100" spans="1:9" x14ac:dyDescent="0.3">
      <c r="A100" t="s">
        <v>4</v>
      </c>
      <c r="B100" s="1">
        <v>45890</v>
      </c>
      <c r="C100" t="s">
        <v>20</v>
      </c>
      <c r="D100">
        <v>3743</v>
      </c>
      <c r="E100">
        <v>0</v>
      </c>
      <c r="F100">
        <v>-3743</v>
      </c>
      <c r="G100" t="s">
        <v>20</v>
      </c>
      <c r="H100" t="s">
        <v>21</v>
      </c>
      <c r="I100" t="s">
        <v>12</v>
      </c>
    </row>
    <row r="101" spans="1:9" x14ac:dyDescent="0.3">
      <c r="A101" t="s">
        <v>4</v>
      </c>
      <c r="B101" s="1">
        <v>45891</v>
      </c>
      <c r="C101" t="s">
        <v>27</v>
      </c>
      <c r="D101">
        <v>3037</v>
      </c>
      <c r="E101">
        <v>0</v>
      </c>
      <c r="F101">
        <v>-3037</v>
      </c>
      <c r="G101" t="s">
        <v>27</v>
      </c>
      <c r="H101" t="s">
        <v>11</v>
      </c>
      <c r="I101" t="s">
        <v>12</v>
      </c>
    </row>
    <row r="102" spans="1:9" x14ac:dyDescent="0.3">
      <c r="A102" t="s">
        <v>4</v>
      </c>
      <c r="B102" s="1">
        <v>45892</v>
      </c>
      <c r="C102" t="s">
        <v>13</v>
      </c>
      <c r="D102">
        <v>6089</v>
      </c>
      <c r="E102">
        <v>0</v>
      </c>
      <c r="F102">
        <v>-6089</v>
      </c>
      <c r="G102" t="s">
        <v>13</v>
      </c>
      <c r="H102" t="s">
        <v>14</v>
      </c>
      <c r="I102" t="s">
        <v>12</v>
      </c>
    </row>
    <row r="103" spans="1:9" x14ac:dyDescent="0.3">
      <c r="A103" t="s">
        <v>9</v>
      </c>
      <c r="B103" s="1">
        <v>45892</v>
      </c>
      <c r="C103" t="s">
        <v>13</v>
      </c>
      <c r="D103">
        <v>6666</v>
      </c>
      <c r="E103">
        <v>0</v>
      </c>
      <c r="F103">
        <v>-6666</v>
      </c>
      <c r="G103" t="s">
        <v>13</v>
      </c>
      <c r="H103" t="s">
        <v>14</v>
      </c>
      <c r="I103" t="s">
        <v>12</v>
      </c>
    </row>
    <row r="104" spans="1:9" x14ac:dyDescent="0.3">
      <c r="A104" t="s">
        <v>4</v>
      </c>
      <c r="B104" s="1">
        <v>45892</v>
      </c>
      <c r="C104" t="s">
        <v>10</v>
      </c>
      <c r="D104">
        <v>6546</v>
      </c>
      <c r="E104">
        <v>0</v>
      </c>
      <c r="F104">
        <v>-6546</v>
      </c>
      <c r="G104" t="s">
        <v>10</v>
      </c>
      <c r="H104" t="s">
        <v>11</v>
      </c>
      <c r="I104" t="s">
        <v>12</v>
      </c>
    </row>
    <row r="105" spans="1:9" x14ac:dyDescent="0.3">
      <c r="A105" t="s">
        <v>9</v>
      </c>
      <c r="B105" s="1">
        <v>45893</v>
      </c>
      <c r="C105" t="s">
        <v>20</v>
      </c>
      <c r="D105">
        <v>4214</v>
      </c>
      <c r="E105">
        <v>0</v>
      </c>
      <c r="F105">
        <v>-4214</v>
      </c>
      <c r="G105" t="s">
        <v>20</v>
      </c>
      <c r="H105" t="s">
        <v>21</v>
      </c>
      <c r="I105" t="s">
        <v>12</v>
      </c>
    </row>
    <row r="106" spans="1:9" x14ac:dyDescent="0.3">
      <c r="A106" t="s">
        <v>9</v>
      </c>
      <c r="B106" s="1">
        <v>45894</v>
      </c>
      <c r="C106" t="s">
        <v>22</v>
      </c>
      <c r="D106">
        <v>0</v>
      </c>
      <c r="E106">
        <v>27426</v>
      </c>
      <c r="F106">
        <v>27426</v>
      </c>
      <c r="G106" t="s">
        <v>22</v>
      </c>
      <c r="H106" t="s">
        <v>23</v>
      </c>
      <c r="I106" t="s">
        <v>23</v>
      </c>
    </row>
    <row r="107" spans="1:9" x14ac:dyDescent="0.3">
      <c r="A107" t="s">
        <v>4</v>
      </c>
      <c r="B107" s="1">
        <v>45894</v>
      </c>
      <c r="C107" t="s">
        <v>10</v>
      </c>
      <c r="D107">
        <v>594</v>
      </c>
      <c r="E107">
        <v>0</v>
      </c>
      <c r="F107">
        <v>-594</v>
      </c>
      <c r="G107" t="s">
        <v>10</v>
      </c>
      <c r="H107" t="s">
        <v>11</v>
      </c>
      <c r="I107" t="s">
        <v>12</v>
      </c>
    </row>
    <row r="108" spans="1:9" x14ac:dyDescent="0.3">
      <c r="A108" t="s">
        <v>9</v>
      </c>
      <c r="B108" s="1">
        <v>45895</v>
      </c>
      <c r="C108" t="s">
        <v>27</v>
      </c>
      <c r="D108">
        <v>284</v>
      </c>
      <c r="E108">
        <v>0</v>
      </c>
      <c r="F108">
        <v>-284</v>
      </c>
      <c r="G108" t="s">
        <v>27</v>
      </c>
      <c r="H108" t="s">
        <v>11</v>
      </c>
      <c r="I108" t="s">
        <v>12</v>
      </c>
    </row>
    <row r="109" spans="1:9" x14ac:dyDescent="0.3">
      <c r="A109" t="s">
        <v>9</v>
      </c>
      <c r="B109" s="1">
        <v>45896</v>
      </c>
      <c r="C109" t="s">
        <v>10</v>
      </c>
      <c r="D109">
        <v>4712</v>
      </c>
      <c r="E109">
        <v>0</v>
      </c>
      <c r="F109">
        <v>-4712</v>
      </c>
      <c r="G109" t="s">
        <v>10</v>
      </c>
      <c r="H109" t="s">
        <v>11</v>
      </c>
      <c r="I109" t="s">
        <v>12</v>
      </c>
    </row>
    <row r="110" spans="1:9" x14ac:dyDescent="0.3">
      <c r="A110" t="s">
        <v>9</v>
      </c>
      <c r="B110" s="1">
        <v>45897</v>
      </c>
      <c r="C110" t="s">
        <v>24</v>
      </c>
      <c r="D110">
        <v>0</v>
      </c>
      <c r="E110">
        <v>32557</v>
      </c>
      <c r="F110">
        <v>32557</v>
      </c>
      <c r="G110" t="s">
        <v>24</v>
      </c>
      <c r="H110" t="s">
        <v>23</v>
      </c>
      <c r="I110" t="s">
        <v>23</v>
      </c>
    </row>
    <row r="111" spans="1:9" x14ac:dyDescent="0.3">
      <c r="A111" t="s">
        <v>9</v>
      </c>
      <c r="B111" s="1">
        <v>45898</v>
      </c>
      <c r="C111" t="s">
        <v>25</v>
      </c>
      <c r="D111">
        <v>0</v>
      </c>
      <c r="E111">
        <v>19646</v>
      </c>
      <c r="F111">
        <v>19646</v>
      </c>
      <c r="G111" t="s">
        <v>25</v>
      </c>
      <c r="H111" t="s">
        <v>23</v>
      </c>
      <c r="I111" t="s">
        <v>23</v>
      </c>
    </row>
    <row r="112" spans="1:9" x14ac:dyDescent="0.3">
      <c r="A112" t="s">
        <v>9</v>
      </c>
      <c r="B112" s="1">
        <v>45899</v>
      </c>
      <c r="C112" t="s">
        <v>10</v>
      </c>
      <c r="D112">
        <v>1998</v>
      </c>
      <c r="E112">
        <v>0</v>
      </c>
      <c r="F112">
        <v>-1998</v>
      </c>
      <c r="G112" t="s">
        <v>10</v>
      </c>
      <c r="H112" t="s">
        <v>11</v>
      </c>
      <c r="I112" t="s">
        <v>12</v>
      </c>
    </row>
    <row r="113" spans="1:9" x14ac:dyDescent="0.3">
      <c r="A113" t="s">
        <v>9</v>
      </c>
      <c r="B113" s="1">
        <v>45899</v>
      </c>
      <c r="C113" t="s">
        <v>10</v>
      </c>
      <c r="D113">
        <v>1868</v>
      </c>
      <c r="E113">
        <v>0</v>
      </c>
      <c r="F113">
        <v>-1868</v>
      </c>
      <c r="G113" t="s">
        <v>10</v>
      </c>
      <c r="H113" t="s">
        <v>11</v>
      </c>
      <c r="I113" t="s">
        <v>12</v>
      </c>
    </row>
    <row r="114" spans="1:9" x14ac:dyDescent="0.3">
      <c r="A114" t="s">
        <v>9</v>
      </c>
      <c r="B114" s="1">
        <v>45899</v>
      </c>
      <c r="C114" t="s">
        <v>15</v>
      </c>
      <c r="D114">
        <v>2678</v>
      </c>
      <c r="E114">
        <v>0</v>
      </c>
      <c r="F114">
        <v>-2678</v>
      </c>
      <c r="G114" t="s">
        <v>15</v>
      </c>
      <c r="H114" t="s">
        <v>16</v>
      </c>
      <c r="I114" t="s">
        <v>12</v>
      </c>
    </row>
    <row r="115" spans="1:9" x14ac:dyDescent="0.3">
      <c r="A115" t="s">
        <v>4</v>
      </c>
      <c r="B115" s="1">
        <v>45900</v>
      </c>
      <c r="C115" t="s">
        <v>15</v>
      </c>
      <c r="D115">
        <v>481</v>
      </c>
      <c r="E115">
        <v>0</v>
      </c>
      <c r="F115">
        <v>-481</v>
      </c>
      <c r="G115" t="s">
        <v>15</v>
      </c>
      <c r="H115" t="s">
        <v>16</v>
      </c>
      <c r="I115" t="s">
        <v>12</v>
      </c>
    </row>
    <row r="116" spans="1:9" x14ac:dyDescent="0.3">
      <c r="A116" t="s">
        <v>9</v>
      </c>
      <c r="B116" s="1">
        <v>45900</v>
      </c>
      <c r="C116" t="s">
        <v>15</v>
      </c>
      <c r="D116">
        <v>6518</v>
      </c>
      <c r="E116">
        <v>0</v>
      </c>
      <c r="F116">
        <v>-6518</v>
      </c>
      <c r="G116" t="s">
        <v>15</v>
      </c>
      <c r="H116" t="s">
        <v>16</v>
      </c>
      <c r="I116" t="s">
        <v>12</v>
      </c>
    </row>
    <row r="117" spans="1:9" x14ac:dyDescent="0.3">
      <c r="A117" t="s">
        <v>4</v>
      </c>
      <c r="B117" s="1">
        <v>45900</v>
      </c>
      <c r="C117" t="s">
        <v>27</v>
      </c>
      <c r="D117">
        <v>510</v>
      </c>
      <c r="E117">
        <v>0</v>
      </c>
      <c r="F117">
        <v>-510</v>
      </c>
      <c r="G117" t="s">
        <v>27</v>
      </c>
      <c r="H117" t="s">
        <v>11</v>
      </c>
      <c r="I117" t="s">
        <v>12</v>
      </c>
    </row>
    <row r="118" spans="1:9" x14ac:dyDescent="0.3">
      <c r="A118" t="s">
        <v>9</v>
      </c>
      <c r="B118" s="1">
        <v>45901</v>
      </c>
      <c r="C118" t="s">
        <v>19</v>
      </c>
      <c r="D118">
        <v>6558</v>
      </c>
      <c r="E118">
        <v>0</v>
      </c>
      <c r="F118">
        <v>-6558</v>
      </c>
      <c r="G118" t="s">
        <v>19</v>
      </c>
      <c r="H118" t="s">
        <v>16</v>
      </c>
      <c r="I118" t="s">
        <v>12</v>
      </c>
    </row>
    <row r="119" spans="1:9" x14ac:dyDescent="0.3">
      <c r="A119" t="s">
        <v>4</v>
      </c>
      <c r="B119" s="1">
        <v>45901</v>
      </c>
      <c r="C119" t="s">
        <v>27</v>
      </c>
      <c r="D119">
        <v>2568</v>
      </c>
      <c r="E119">
        <v>0</v>
      </c>
      <c r="F119">
        <v>-2568</v>
      </c>
      <c r="G119" t="s">
        <v>27</v>
      </c>
      <c r="H119" t="s">
        <v>11</v>
      </c>
      <c r="I119" t="s">
        <v>12</v>
      </c>
    </row>
    <row r="120" spans="1:9" x14ac:dyDescent="0.3">
      <c r="A120" t="s">
        <v>4</v>
      </c>
      <c r="B120" s="1">
        <v>45901</v>
      </c>
      <c r="C120" t="s">
        <v>19</v>
      </c>
      <c r="D120">
        <v>3389</v>
      </c>
      <c r="E120">
        <v>0</v>
      </c>
      <c r="F120">
        <v>-3389</v>
      </c>
      <c r="G120" t="s">
        <v>19</v>
      </c>
      <c r="H120" t="s">
        <v>16</v>
      </c>
      <c r="I120" t="s">
        <v>12</v>
      </c>
    </row>
    <row r="121" spans="1:9" x14ac:dyDescent="0.3">
      <c r="A121" t="s">
        <v>4</v>
      </c>
      <c r="B121" s="1">
        <v>45902</v>
      </c>
      <c r="C121" t="s">
        <v>17</v>
      </c>
      <c r="D121">
        <v>1145</v>
      </c>
      <c r="E121">
        <v>0</v>
      </c>
      <c r="F121">
        <v>-1145</v>
      </c>
      <c r="G121" t="s">
        <v>17</v>
      </c>
      <c r="H121" t="s">
        <v>18</v>
      </c>
      <c r="I121" t="s">
        <v>12</v>
      </c>
    </row>
    <row r="122" spans="1:9" x14ac:dyDescent="0.3">
      <c r="A122" t="s">
        <v>9</v>
      </c>
      <c r="B122" s="1">
        <v>45902</v>
      </c>
      <c r="C122" t="s">
        <v>13</v>
      </c>
      <c r="D122">
        <v>2860</v>
      </c>
      <c r="E122">
        <v>0</v>
      </c>
      <c r="F122">
        <v>-2860</v>
      </c>
      <c r="G122" t="s">
        <v>13</v>
      </c>
      <c r="H122" t="s">
        <v>14</v>
      </c>
      <c r="I122" t="s">
        <v>12</v>
      </c>
    </row>
    <row r="123" spans="1:9" x14ac:dyDescent="0.3">
      <c r="A123" t="s">
        <v>9</v>
      </c>
      <c r="B123" s="1">
        <v>45902</v>
      </c>
      <c r="C123" t="s">
        <v>27</v>
      </c>
      <c r="D123">
        <v>2754</v>
      </c>
      <c r="E123">
        <v>0</v>
      </c>
      <c r="F123">
        <v>-2754</v>
      </c>
      <c r="G123" t="s">
        <v>27</v>
      </c>
      <c r="H123" t="s">
        <v>11</v>
      </c>
      <c r="I123" t="s">
        <v>12</v>
      </c>
    </row>
    <row r="124" spans="1:9" x14ac:dyDescent="0.3">
      <c r="A124" t="s">
        <v>9</v>
      </c>
      <c r="B124" s="1">
        <v>45903</v>
      </c>
      <c r="C124" t="s">
        <v>19</v>
      </c>
      <c r="D124">
        <v>5622</v>
      </c>
      <c r="E124">
        <v>0</v>
      </c>
      <c r="F124">
        <v>-5622</v>
      </c>
      <c r="G124" t="s">
        <v>19</v>
      </c>
      <c r="H124" t="s">
        <v>16</v>
      </c>
      <c r="I124" t="s">
        <v>12</v>
      </c>
    </row>
    <row r="125" spans="1:9" x14ac:dyDescent="0.3">
      <c r="A125" t="s">
        <v>9</v>
      </c>
      <c r="B125" s="1">
        <v>45904</v>
      </c>
      <c r="C125" t="s">
        <v>17</v>
      </c>
      <c r="D125">
        <v>3265</v>
      </c>
      <c r="E125">
        <v>0</v>
      </c>
      <c r="F125">
        <v>-3265</v>
      </c>
      <c r="G125" t="s">
        <v>17</v>
      </c>
      <c r="H125" t="s">
        <v>18</v>
      </c>
      <c r="I125" t="s">
        <v>12</v>
      </c>
    </row>
    <row r="126" spans="1:9" x14ac:dyDescent="0.3">
      <c r="A126" t="s">
        <v>4</v>
      </c>
      <c r="B126" s="1">
        <v>45905</v>
      </c>
      <c r="C126" t="s">
        <v>26</v>
      </c>
      <c r="D126">
        <v>5342</v>
      </c>
      <c r="E126">
        <v>0</v>
      </c>
      <c r="F126">
        <v>-5342</v>
      </c>
      <c r="G126" t="s">
        <v>26</v>
      </c>
      <c r="H126" t="s">
        <v>18</v>
      </c>
      <c r="I126" t="s">
        <v>12</v>
      </c>
    </row>
    <row r="127" spans="1:9" x14ac:dyDescent="0.3">
      <c r="A127" t="s">
        <v>9</v>
      </c>
      <c r="B127" s="1">
        <v>45905</v>
      </c>
      <c r="C127" t="s">
        <v>20</v>
      </c>
      <c r="D127">
        <v>6144</v>
      </c>
      <c r="E127">
        <v>0</v>
      </c>
      <c r="F127">
        <v>-6144</v>
      </c>
      <c r="G127" t="s">
        <v>20</v>
      </c>
      <c r="H127" t="s">
        <v>21</v>
      </c>
      <c r="I127" t="s">
        <v>12</v>
      </c>
    </row>
    <row r="128" spans="1:9" x14ac:dyDescent="0.3">
      <c r="A128" t="s">
        <v>4</v>
      </c>
      <c r="B128" s="1">
        <v>45905</v>
      </c>
      <c r="C128" t="s">
        <v>19</v>
      </c>
      <c r="D128">
        <v>5182</v>
      </c>
      <c r="E128">
        <v>0</v>
      </c>
      <c r="F128">
        <v>-5182</v>
      </c>
      <c r="G128" t="s">
        <v>19</v>
      </c>
      <c r="H128" t="s">
        <v>16</v>
      </c>
      <c r="I128" t="s">
        <v>12</v>
      </c>
    </row>
    <row r="129" spans="1:9" x14ac:dyDescent="0.3">
      <c r="A129" t="s">
        <v>9</v>
      </c>
      <c r="B129" s="1">
        <v>45906</v>
      </c>
      <c r="C129" t="s">
        <v>17</v>
      </c>
      <c r="D129">
        <v>3685</v>
      </c>
      <c r="E129">
        <v>0</v>
      </c>
      <c r="F129">
        <v>-3685</v>
      </c>
      <c r="G129" t="s">
        <v>17</v>
      </c>
      <c r="H129" t="s">
        <v>18</v>
      </c>
      <c r="I129" t="s">
        <v>12</v>
      </c>
    </row>
    <row r="130" spans="1:9" x14ac:dyDescent="0.3">
      <c r="A130" t="s">
        <v>9</v>
      </c>
      <c r="B130" s="1">
        <v>45906</v>
      </c>
      <c r="C130" t="s">
        <v>17</v>
      </c>
      <c r="D130">
        <v>1983</v>
      </c>
      <c r="E130">
        <v>0</v>
      </c>
      <c r="F130">
        <v>-1983</v>
      </c>
      <c r="G130" t="s">
        <v>17</v>
      </c>
      <c r="H130" t="s">
        <v>18</v>
      </c>
      <c r="I130" t="s">
        <v>12</v>
      </c>
    </row>
    <row r="131" spans="1:9" x14ac:dyDescent="0.3">
      <c r="A131" t="s">
        <v>4</v>
      </c>
      <c r="B131" s="1">
        <v>45907</v>
      </c>
      <c r="C131" t="s">
        <v>17</v>
      </c>
      <c r="D131">
        <v>5664</v>
      </c>
      <c r="E131">
        <v>0</v>
      </c>
      <c r="F131">
        <v>-5664</v>
      </c>
      <c r="G131" t="s">
        <v>17</v>
      </c>
      <c r="H131" t="s">
        <v>18</v>
      </c>
      <c r="I131" t="s">
        <v>12</v>
      </c>
    </row>
    <row r="132" spans="1:9" x14ac:dyDescent="0.3">
      <c r="A132" t="s">
        <v>4</v>
      </c>
      <c r="B132" s="1">
        <v>45907</v>
      </c>
      <c r="C132" t="s">
        <v>10</v>
      </c>
      <c r="D132">
        <v>6232</v>
      </c>
      <c r="E132">
        <v>0</v>
      </c>
      <c r="F132">
        <v>-6232</v>
      </c>
      <c r="G132" t="s">
        <v>10</v>
      </c>
      <c r="H132" t="s">
        <v>11</v>
      </c>
      <c r="I132" t="s">
        <v>12</v>
      </c>
    </row>
    <row r="133" spans="1:9" x14ac:dyDescent="0.3">
      <c r="A133" t="s">
        <v>4</v>
      </c>
      <c r="B133" s="1">
        <v>45907</v>
      </c>
      <c r="C133" t="s">
        <v>10</v>
      </c>
      <c r="D133">
        <v>2494</v>
      </c>
      <c r="E133">
        <v>0</v>
      </c>
      <c r="F133">
        <v>-2494</v>
      </c>
      <c r="G133" t="s">
        <v>10</v>
      </c>
      <c r="H133" t="s">
        <v>11</v>
      </c>
      <c r="I133" t="s">
        <v>12</v>
      </c>
    </row>
    <row r="134" spans="1:9" x14ac:dyDescent="0.3">
      <c r="A134" t="s">
        <v>9</v>
      </c>
      <c r="B134" s="1">
        <v>45908</v>
      </c>
      <c r="C134" t="s">
        <v>20</v>
      </c>
      <c r="D134">
        <v>4133</v>
      </c>
      <c r="E134">
        <v>0</v>
      </c>
      <c r="F134">
        <v>-4133</v>
      </c>
      <c r="G134" t="s">
        <v>20</v>
      </c>
      <c r="H134" t="s">
        <v>21</v>
      </c>
      <c r="I134" t="s">
        <v>12</v>
      </c>
    </row>
    <row r="135" spans="1:9" x14ac:dyDescent="0.3">
      <c r="A135" t="s">
        <v>4</v>
      </c>
      <c r="B135" s="1">
        <v>45908</v>
      </c>
      <c r="C135" t="s">
        <v>24</v>
      </c>
      <c r="D135">
        <v>0</v>
      </c>
      <c r="E135">
        <v>15555</v>
      </c>
      <c r="F135">
        <v>15555</v>
      </c>
      <c r="G135" t="s">
        <v>24</v>
      </c>
      <c r="H135" t="s">
        <v>23</v>
      </c>
      <c r="I135" t="s">
        <v>23</v>
      </c>
    </row>
    <row r="136" spans="1:9" x14ac:dyDescent="0.3">
      <c r="A136" t="s">
        <v>9</v>
      </c>
      <c r="B136" s="1">
        <v>45909</v>
      </c>
      <c r="C136" t="s">
        <v>17</v>
      </c>
      <c r="D136">
        <v>2215</v>
      </c>
      <c r="E136">
        <v>0</v>
      </c>
      <c r="F136">
        <v>-2215</v>
      </c>
      <c r="G136" t="s">
        <v>17</v>
      </c>
      <c r="H136" t="s">
        <v>18</v>
      </c>
      <c r="I136" t="s">
        <v>12</v>
      </c>
    </row>
    <row r="137" spans="1:9" x14ac:dyDescent="0.3">
      <c r="A137" t="s">
        <v>4</v>
      </c>
      <c r="B137" s="1">
        <v>45910</v>
      </c>
      <c r="C137" t="s">
        <v>20</v>
      </c>
      <c r="D137">
        <v>4786</v>
      </c>
      <c r="E137">
        <v>0</v>
      </c>
      <c r="F137">
        <v>-4786</v>
      </c>
      <c r="G137" t="s">
        <v>20</v>
      </c>
      <c r="H137" t="s">
        <v>21</v>
      </c>
      <c r="I137" t="s">
        <v>12</v>
      </c>
    </row>
    <row r="138" spans="1:9" x14ac:dyDescent="0.3">
      <c r="A138" t="s">
        <v>9</v>
      </c>
      <c r="B138" s="1">
        <v>45910</v>
      </c>
      <c r="C138" t="s">
        <v>15</v>
      </c>
      <c r="D138">
        <v>427</v>
      </c>
      <c r="E138">
        <v>0</v>
      </c>
      <c r="F138">
        <v>-427</v>
      </c>
      <c r="G138" t="s">
        <v>15</v>
      </c>
      <c r="H138" t="s">
        <v>16</v>
      </c>
      <c r="I138" t="s">
        <v>12</v>
      </c>
    </row>
    <row r="139" spans="1:9" x14ac:dyDescent="0.3">
      <c r="A139" t="s">
        <v>4</v>
      </c>
      <c r="B139" s="1">
        <v>45911</v>
      </c>
      <c r="C139" t="s">
        <v>19</v>
      </c>
      <c r="D139">
        <v>1935</v>
      </c>
      <c r="E139">
        <v>0</v>
      </c>
      <c r="F139">
        <v>-1935</v>
      </c>
      <c r="G139" t="s">
        <v>19</v>
      </c>
      <c r="H139" t="s">
        <v>16</v>
      </c>
      <c r="I139" t="s">
        <v>12</v>
      </c>
    </row>
    <row r="140" spans="1:9" x14ac:dyDescent="0.3">
      <c r="A140" t="s">
        <v>9</v>
      </c>
      <c r="B140" s="1">
        <v>45912</v>
      </c>
      <c r="C140" t="s">
        <v>26</v>
      </c>
      <c r="D140">
        <v>7344</v>
      </c>
      <c r="E140">
        <v>0</v>
      </c>
      <c r="F140">
        <v>-7344</v>
      </c>
      <c r="G140" t="s">
        <v>26</v>
      </c>
      <c r="H140" t="s">
        <v>18</v>
      </c>
      <c r="I140" t="s">
        <v>12</v>
      </c>
    </row>
    <row r="141" spans="1:9" x14ac:dyDescent="0.3">
      <c r="A141" t="s">
        <v>9</v>
      </c>
      <c r="B141" s="1">
        <v>45912</v>
      </c>
      <c r="C141" t="s">
        <v>22</v>
      </c>
      <c r="D141">
        <v>0</v>
      </c>
      <c r="E141">
        <v>18435</v>
      </c>
      <c r="F141">
        <v>18435</v>
      </c>
      <c r="G141" t="s">
        <v>22</v>
      </c>
      <c r="H141" t="s">
        <v>23</v>
      </c>
      <c r="I141" t="s">
        <v>23</v>
      </c>
    </row>
    <row r="142" spans="1:9" x14ac:dyDescent="0.3">
      <c r="A142" t="s">
        <v>9</v>
      </c>
      <c r="B142" s="1">
        <v>45912</v>
      </c>
      <c r="C142" t="s">
        <v>27</v>
      </c>
      <c r="D142">
        <v>5566</v>
      </c>
      <c r="E142">
        <v>0</v>
      </c>
      <c r="F142">
        <v>-5566</v>
      </c>
      <c r="G142" t="s">
        <v>27</v>
      </c>
      <c r="H142" t="s">
        <v>11</v>
      </c>
      <c r="I142" t="s">
        <v>12</v>
      </c>
    </row>
    <row r="143" spans="1:9" x14ac:dyDescent="0.3">
      <c r="A143" t="s">
        <v>4</v>
      </c>
      <c r="B143" s="1">
        <v>45913</v>
      </c>
      <c r="C143" t="s">
        <v>19</v>
      </c>
      <c r="D143">
        <v>6507</v>
      </c>
      <c r="E143">
        <v>0</v>
      </c>
      <c r="F143">
        <v>-6507</v>
      </c>
      <c r="G143" t="s">
        <v>19</v>
      </c>
      <c r="H143" t="s">
        <v>16</v>
      </c>
      <c r="I143" t="s">
        <v>12</v>
      </c>
    </row>
    <row r="144" spans="1:9" x14ac:dyDescent="0.3">
      <c r="A144" t="s">
        <v>4</v>
      </c>
      <c r="B144" s="1">
        <v>45913</v>
      </c>
      <c r="C144" t="s">
        <v>25</v>
      </c>
      <c r="D144">
        <v>0</v>
      </c>
      <c r="E144">
        <v>14970</v>
      </c>
      <c r="F144">
        <v>14970</v>
      </c>
      <c r="G144" t="s">
        <v>25</v>
      </c>
      <c r="H144" t="s">
        <v>23</v>
      </c>
      <c r="I144" t="s">
        <v>23</v>
      </c>
    </row>
    <row r="145" spans="1:9" x14ac:dyDescent="0.3">
      <c r="A145" t="s">
        <v>9</v>
      </c>
      <c r="B145" s="1">
        <v>45914</v>
      </c>
      <c r="C145" t="s">
        <v>27</v>
      </c>
      <c r="D145">
        <v>3922</v>
      </c>
      <c r="E145">
        <v>0</v>
      </c>
      <c r="F145">
        <v>-3922</v>
      </c>
      <c r="G145" t="s">
        <v>27</v>
      </c>
      <c r="H145" t="s">
        <v>11</v>
      </c>
      <c r="I145" t="s">
        <v>12</v>
      </c>
    </row>
    <row r="146" spans="1:9" x14ac:dyDescent="0.3">
      <c r="A146" t="s">
        <v>4</v>
      </c>
      <c r="B146" s="1">
        <v>45914</v>
      </c>
      <c r="C146" t="s">
        <v>25</v>
      </c>
      <c r="D146">
        <v>0</v>
      </c>
      <c r="E146">
        <v>10881</v>
      </c>
      <c r="F146">
        <v>10881</v>
      </c>
      <c r="G146" t="s">
        <v>25</v>
      </c>
      <c r="H146" t="s">
        <v>23</v>
      </c>
      <c r="I146" t="s">
        <v>23</v>
      </c>
    </row>
    <row r="147" spans="1:9" x14ac:dyDescent="0.3">
      <c r="A147" t="s">
        <v>9</v>
      </c>
      <c r="B147" s="1">
        <v>45915</v>
      </c>
      <c r="C147" t="s">
        <v>27</v>
      </c>
      <c r="D147">
        <v>4380</v>
      </c>
      <c r="E147">
        <v>0</v>
      </c>
      <c r="F147">
        <v>-4380</v>
      </c>
      <c r="G147" t="s">
        <v>27</v>
      </c>
      <c r="H147" t="s">
        <v>11</v>
      </c>
      <c r="I147" t="s">
        <v>12</v>
      </c>
    </row>
    <row r="148" spans="1:9" x14ac:dyDescent="0.3">
      <c r="A148" t="s">
        <v>4</v>
      </c>
      <c r="B148" s="1">
        <v>45915</v>
      </c>
      <c r="C148" t="s">
        <v>19</v>
      </c>
      <c r="D148">
        <v>3586</v>
      </c>
      <c r="E148">
        <v>0</v>
      </c>
      <c r="F148">
        <v>-3586</v>
      </c>
      <c r="G148" t="s">
        <v>19</v>
      </c>
      <c r="H148" t="s">
        <v>16</v>
      </c>
      <c r="I148" t="s">
        <v>12</v>
      </c>
    </row>
    <row r="149" spans="1:9" x14ac:dyDescent="0.3">
      <c r="A149" t="s">
        <v>9</v>
      </c>
      <c r="B149" s="1">
        <v>45916</v>
      </c>
      <c r="C149" t="s">
        <v>19</v>
      </c>
      <c r="D149">
        <v>3058</v>
      </c>
      <c r="E149">
        <v>0</v>
      </c>
      <c r="F149">
        <v>-3058</v>
      </c>
      <c r="G149" t="s">
        <v>19</v>
      </c>
      <c r="H149" t="s">
        <v>16</v>
      </c>
      <c r="I149" t="s">
        <v>12</v>
      </c>
    </row>
    <row r="150" spans="1:9" x14ac:dyDescent="0.3">
      <c r="A150" t="s">
        <v>4</v>
      </c>
      <c r="B150" s="1">
        <v>45916</v>
      </c>
      <c r="C150" t="s">
        <v>22</v>
      </c>
      <c r="D150">
        <v>0</v>
      </c>
      <c r="E150">
        <v>36361</v>
      </c>
      <c r="F150">
        <v>36361</v>
      </c>
      <c r="G150" t="s">
        <v>22</v>
      </c>
      <c r="H150" t="s">
        <v>23</v>
      </c>
      <c r="I150" t="s">
        <v>23</v>
      </c>
    </row>
    <row r="151" spans="1:9" x14ac:dyDescent="0.3">
      <c r="A151" t="s">
        <v>4</v>
      </c>
      <c r="B151" s="1">
        <v>45917</v>
      </c>
      <c r="C151" t="s">
        <v>19</v>
      </c>
      <c r="D151">
        <v>7131</v>
      </c>
      <c r="E151">
        <v>0</v>
      </c>
      <c r="F151">
        <v>-7131</v>
      </c>
      <c r="G151" t="s">
        <v>19</v>
      </c>
      <c r="H151" t="s">
        <v>16</v>
      </c>
      <c r="I151" t="s">
        <v>12</v>
      </c>
    </row>
    <row r="152" spans="1:9" x14ac:dyDescent="0.3">
      <c r="A152" t="s">
        <v>4</v>
      </c>
      <c r="B152" s="1">
        <v>45917</v>
      </c>
      <c r="C152" t="s">
        <v>20</v>
      </c>
      <c r="D152">
        <v>1877</v>
      </c>
      <c r="E152">
        <v>0</v>
      </c>
      <c r="F152">
        <v>-1877</v>
      </c>
      <c r="G152" t="s">
        <v>20</v>
      </c>
      <c r="H152" t="s">
        <v>21</v>
      </c>
      <c r="I152" t="s">
        <v>12</v>
      </c>
    </row>
    <row r="153" spans="1:9" x14ac:dyDescent="0.3">
      <c r="A153" t="s">
        <v>9</v>
      </c>
      <c r="B153" s="1">
        <v>45917</v>
      </c>
      <c r="C153" t="s">
        <v>19</v>
      </c>
      <c r="D153">
        <v>6707</v>
      </c>
      <c r="E153">
        <v>0</v>
      </c>
      <c r="F153">
        <v>-6707</v>
      </c>
      <c r="G153" t="s">
        <v>19</v>
      </c>
      <c r="H153" t="s">
        <v>16</v>
      </c>
      <c r="I153" t="s">
        <v>12</v>
      </c>
    </row>
    <row r="154" spans="1:9" x14ac:dyDescent="0.3">
      <c r="A154" t="s">
        <v>9</v>
      </c>
      <c r="B154" s="1">
        <v>45918</v>
      </c>
      <c r="C154" t="s">
        <v>20</v>
      </c>
      <c r="D154">
        <v>554</v>
      </c>
      <c r="E154">
        <v>0</v>
      </c>
      <c r="F154">
        <v>-554</v>
      </c>
      <c r="G154" t="s">
        <v>20</v>
      </c>
      <c r="H154" t="s">
        <v>21</v>
      </c>
      <c r="I154" t="s">
        <v>12</v>
      </c>
    </row>
    <row r="155" spans="1:9" x14ac:dyDescent="0.3">
      <c r="A155" t="s">
        <v>4</v>
      </c>
      <c r="B155" s="1">
        <v>45918</v>
      </c>
      <c r="C155" t="s">
        <v>24</v>
      </c>
      <c r="D155">
        <v>0</v>
      </c>
      <c r="E155">
        <v>19967</v>
      </c>
      <c r="F155">
        <v>19967</v>
      </c>
      <c r="G155" t="s">
        <v>24</v>
      </c>
      <c r="H155" t="s">
        <v>23</v>
      </c>
      <c r="I155" t="s">
        <v>23</v>
      </c>
    </row>
    <row r="156" spans="1:9" x14ac:dyDescent="0.3">
      <c r="A156" t="s">
        <v>9</v>
      </c>
      <c r="B156" s="1">
        <v>45919</v>
      </c>
      <c r="C156" t="s">
        <v>17</v>
      </c>
      <c r="D156">
        <v>1621</v>
      </c>
      <c r="E156">
        <v>0</v>
      </c>
      <c r="F156">
        <v>-1621</v>
      </c>
      <c r="G156" t="s">
        <v>17</v>
      </c>
      <c r="H156" t="s">
        <v>18</v>
      </c>
      <c r="I156" t="s">
        <v>12</v>
      </c>
    </row>
    <row r="157" spans="1:9" x14ac:dyDescent="0.3">
      <c r="A157" t="s">
        <v>9</v>
      </c>
      <c r="B157" s="1">
        <v>45919</v>
      </c>
      <c r="C157" t="s">
        <v>27</v>
      </c>
      <c r="D157">
        <v>7138</v>
      </c>
      <c r="E157">
        <v>0</v>
      </c>
      <c r="F157">
        <v>-7138</v>
      </c>
      <c r="G157" t="s">
        <v>27</v>
      </c>
      <c r="H157" t="s">
        <v>11</v>
      </c>
      <c r="I157" t="s">
        <v>12</v>
      </c>
    </row>
    <row r="158" spans="1:9" x14ac:dyDescent="0.3">
      <c r="A158" t="s">
        <v>9</v>
      </c>
      <c r="B158" s="1">
        <v>45920</v>
      </c>
      <c r="C158" t="s">
        <v>10</v>
      </c>
      <c r="D158">
        <v>998</v>
      </c>
      <c r="E158">
        <v>0</v>
      </c>
      <c r="F158">
        <v>-998</v>
      </c>
      <c r="G158" t="s">
        <v>10</v>
      </c>
      <c r="H158" t="s">
        <v>11</v>
      </c>
      <c r="I158" t="s">
        <v>12</v>
      </c>
    </row>
    <row r="159" spans="1:9" x14ac:dyDescent="0.3">
      <c r="A159" t="s">
        <v>4</v>
      </c>
      <c r="B159" s="1">
        <v>45920</v>
      </c>
      <c r="C159" t="s">
        <v>22</v>
      </c>
      <c r="D159">
        <v>0</v>
      </c>
      <c r="E159">
        <v>22565</v>
      </c>
      <c r="F159">
        <v>22565</v>
      </c>
      <c r="G159" t="s">
        <v>22</v>
      </c>
      <c r="H159" t="s">
        <v>23</v>
      </c>
      <c r="I159" t="s">
        <v>23</v>
      </c>
    </row>
    <row r="160" spans="1:9" x14ac:dyDescent="0.3">
      <c r="A160" t="s">
        <v>4</v>
      </c>
      <c r="B160" s="1">
        <v>45921</v>
      </c>
      <c r="C160" t="s">
        <v>15</v>
      </c>
      <c r="D160">
        <v>6684</v>
      </c>
      <c r="E160">
        <v>0</v>
      </c>
      <c r="F160">
        <v>-6684</v>
      </c>
      <c r="G160" t="s">
        <v>15</v>
      </c>
      <c r="H160" t="s">
        <v>16</v>
      </c>
      <c r="I160" t="s">
        <v>12</v>
      </c>
    </row>
    <row r="161" spans="1:9" x14ac:dyDescent="0.3">
      <c r="A161" t="s">
        <v>4</v>
      </c>
      <c r="B161" s="1">
        <v>45921</v>
      </c>
      <c r="C161" t="s">
        <v>17</v>
      </c>
      <c r="D161">
        <v>2199</v>
      </c>
      <c r="E161">
        <v>0</v>
      </c>
      <c r="F161">
        <v>-2199</v>
      </c>
      <c r="G161" t="s">
        <v>17</v>
      </c>
      <c r="H161" t="s">
        <v>18</v>
      </c>
      <c r="I161" t="s">
        <v>12</v>
      </c>
    </row>
    <row r="162" spans="1:9" x14ac:dyDescent="0.3">
      <c r="A162" t="s">
        <v>9</v>
      </c>
      <c r="B162" s="1">
        <v>45922</v>
      </c>
      <c r="C162" t="s">
        <v>19</v>
      </c>
      <c r="D162">
        <v>6928</v>
      </c>
      <c r="E162">
        <v>0</v>
      </c>
      <c r="F162">
        <v>-6928</v>
      </c>
      <c r="G162" t="s">
        <v>19</v>
      </c>
      <c r="H162" t="s">
        <v>16</v>
      </c>
      <c r="I162" t="s">
        <v>12</v>
      </c>
    </row>
    <row r="163" spans="1:9" x14ac:dyDescent="0.3">
      <c r="A163" t="s">
        <v>9</v>
      </c>
      <c r="B163" s="1">
        <v>45922</v>
      </c>
      <c r="C163" t="s">
        <v>26</v>
      </c>
      <c r="D163">
        <v>5261</v>
      </c>
      <c r="E163">
        <v>0</v>
      </c>
      <c r="F163">
        <v>-5261</v>
      </c>
      <c r="G163" t="s">
        <v>26</v>
      </c>
      <c r="H163" t="s">
        <v>18</v>
      </c>
      <c r="I163" t="s">
        <v>12</v>
      </c>
    </row>
    <row r="164" spans="1:9" x14ac:dyDescent="0.3">
      <c r="A164" t="s">
        <v>4</v>
      </c>
      <c r="B164" s="1">
        <v>45923</v>
      </c>
      <c r="C164" t="s">
        <v>13</v>
      </c>
      <c r="D164">
        <v>6030</v>
      </c>
      <c r="E164">
        <v>0</v>
      </c>
      <c r="F164">
        <v>-6030</v>
      </c>
      <c r="G164" t="s">
        <v>13</v>
      </c>
      <c r="H164" t="s">
        <v>14</v>
      </c>
      <c r="I164" t="s">
        <v>12</v>
      </c>
    </row>
    <row r="165" spans="1:9" x14ac:dyDescent="0.3">
      <c r="A165" t="s">
        <v>9</v>
      </c>
      <c r="B165" s="1">
        <v>45924</v>
      </c>
      <c r="C165" t="s">
        <v>27</v>
      </c>
      <c r="D165">
        <v>6092</v>
      </c>
      <c r="E165">
        <v>0</v>
      </c>
      <c r="F165">
        <v>-6092</v>
      </c>
      <c r="G165" t="s">
        <v>27</v>
      </c>
      <c r="H165" t="s">
        <v>11</v>
      </c>
      <c r="I165" t="s">
        <v>12</v>
      </c>
    </row>
    <row r="166" spans="1:9" x14ac:dyDescent="0.3">
      <c r="A166" t="s">
        <v>9</v>
      </c>
      <c r="B166" s="1">
        <v>45925</v>
      </c>
      <c r="C166" t="s">
        <v>15</v>
      </c>
      <c r="D166">
        <v>7667</v>
      </c>
      <c r="E166">
        <v>0</v>
      </c>
      <c r="F166">
        <v>-7667</v>
      </c>
      <c r="G166" t="s">
        <v>15</v>
      </c>
      <c r="H166" t="s">
        <v>16</v>
      </c>
      <c r="I166" t="s">
        <v>12</v>
      </c>
    </row>
    <row r="167" spans="1:9" x14ac:dyDescent="0.3">
      <c r="A167" t="s">
        <v>4</v>
      </c>
      <c r="B167" s="1">
        <v>45926</v>
      </c>
      <c r="C167" t="s">
        <v>27</v>
      </c>
      <c r="D167">
        <v>6894</v>
      </c>
      <c r="E167">
        <v>0</v>
      </c>
      <c r="F167">
        <v>-6894</v>
      </c>
      <c r="G167" t="s">
        <v>27</v>
      </c>
      <c r="H167" t="s">
        <v>11</v>
      </c>
      <c r="I167" t="s">
        <v>12</v>
      </c>
    </row>
    <row r="168" spans="1:9" x14ac:dyDescent="0.3">
      <c r="A168" t="s">
        <v>9</v>
      </c>
      <c r="B168" s="1">
        <v>45926</v>
      </c>
      <c r="C168" t="s">
        <v>17</v>
      </c>
      <c r="D168">
        <v>6119</v>
      </c>
      <c r="E168">
        <v>0</v>
      </c>
      <c r="F168">
        <v>-6119</v>
      </c>
      <c r="G168" t="s">
        <v>17</v>
      </c>
      <c r="H168" t="s">
        <v>18</v>
      </c>
      <c r="I168" t="s">
        <v>12</v>
      </c>
    </row>
    <row r="169" spans="1:9" x14ac:dyDescent="0.3">
      <c r="A169" t="s">
        <v>4</v>
      </c>
      <c r="B169" s="1">
        <v>45926</v>
      </c>
      <c r="C169" t="s">
        <v>27</v>
      </c>
      <c r="D169">
        <v>6112</v>
      </c>
      <c r="E169">
        <v>0</v>
      </c>
      <c r="F169">
        <v>-6112</v>
      </c>
      <c r="G169" t="s">
        <v>27</v>
      </c>
      <c r="H169" t="s">
        <v>11</v>
      </c>
      <c r="I169" t="s">
        <v>12</v>
      </c>
    </row>
    <row r="170" spans="1:9" x14ac:dyDescent="0.3">
      <c r="A170" t="s">
        <v>9</v>
      </c>
      <c r="B170" s="1">
        <v>45927</v>
      </c>
      <c r="C170" t="s">
        <v>13</v>
      </c>
      <c r="D170">
        <v>937</v>
      </c>
      <c r="E170">
        <v>0</v>
      </c>
      <c r="F170">
        <v>-937</v>
      </c>
      <c r="G170" t="s">
        <v>13</v>
      </c>
      <c r="H170" t="s">
        <v>14</v>
      </c>
      <c r="I170" t="s">
        <v>12</v>
      </c>
    </row>
    <row r="171" spans="1:9" x14ac:dyDescent="0.3">
      <c r="A171" t="s">
        <v>4</v>
      </c>
      <c r="B171" s="1">
        <v>45927</v>
      </c>
      <c r="C171" t="s">
        <v>15</v>
      </c>
      <c r="D171">
        <v>6654</v>
      </c>
      <c r="E171">
        <v>0</v>
      </c>
      <c r="F171">
        <v>-6654</v>
      </c>
      <c r="G171" t="s">
        <v>15</v>
      </c>
      <c r="H171" t="s">
        <v>16</v>
      </c>
      <c r="I171" t="s">
        <v>12</v>
      </c>
    </row>
    <row r="172" spans="1:9" x14ac:dyDescent="0.3">
      <c r="A172" t="s">
        <v>4</v>
      </c>
      <c r="B172" s="1">
        <v>45927</v>
      </c>
      <c r="C172" t="s">
        <v>27</v>
      </c>
      <c r="D172">
        <v>4834</v>
      </c>
      <c r="E172">
        <v>0</v>
      </c>
      <c r="F172">
        <v>-4834</v>
      </c>
      <c r="G172" t="s">
        <v>27</v>
      </c>
      <c r="H172" t="s">
        <v>11</v>
      </c>
      <c r="I172" t="s">
        <v>12</v>
      </c>
    </row>
    <row r="173" spans="1:9" x14ac:dyDescent="0.3">
      <c r="A173" t="s">
        <v>9</v>
      </c>
      <c r="B173" s="1">
        <v>45928</v>
      </c>
      <c r="C173" t="s">
        <v>19</v>
      </c>
      <c r="D173">
        <v>763</v>
      </c>
      <c r="E173">
        <v>0</v>
      </c>
      <c r="F173">
        <v>-763</v>
      </c>
      <c r="G173" t="s">
        <v>19</v>
      </c>
      <c r="H173" t="s">
        <v>16</v>
      </c>
      <c r="I173" t="s">
        <v>12</v>
      </c>
    </row>
    <row r="174" spans="1:9" x14ac:dyDescent="0.3">
      <c r="A174" t="s">
        <v>9</v>
      </c>
      <c r="B174" s="1">
        <v>45928</v>
      </c>
      <c r="C174" t="s">
        <v>27</v>
      </c>
      <c r="D174">
        <v>7723</v>
      </c>
      <c r="E174">
        <v>0</v>
      </c>
      <c r="F174">
        <v>-7723</v>
      </c>
      <c r="G174" t="s">
        <v>27</v>
      </c>
      <c r="H174" t="s">
        <v>11</v>
      </c>
      <c r="I174" t="s">
        <v>12</v>
      </c>
    </row>
    <row r="175" spans="1:9" x14ac:dyDescent="0.3">
      <c r="A175" t="s">
        <v>4</v>
      </c>
      <c r="B175" s="1">
        <v>45929</v>
      </c>
      <c r="C175" t="s">
        <v>19</v>
      </c>
      <c r="D175">
        <v>6500</v>
      </c>
      <c r="E175">
        <v>0</v>
      </c>
      <c r="F175">
        <v>-6500</v>
      </c>
      <c r="G175" t="s">
        <v>19</v>
      </c>
      <c r="H175" t="s">
        <v>16</v>
      </c>
      <c r="I175" t="s">
        <v>12</v>
      </c>
    </row>
    <row r="176" spans="1:9" x14ac:dyDescent="0.3">
      <c r="A176" t="s">
        <v>9</v>
      </c>
      <c r="B176" s="1">
        <v>45930</v>
      </c>
      <c r="C176" t="s">
        <v>20</v>
      </c>
      <c r="D176">
        <v>4568</v>
      </c>
      <c r="E176">
        <v>0</v>
      </c>
      <c r="F176">
        <v>-4568</v>
      </c>
      <c r="G176" t="s">
        <v>20</v>
      </c>
      <c r="H176" t="s">
        <v>21</v>
      </c>
      <c r="I176" t="s">
        <v>12</v>
      </c>
    </row>
    <row r="177" spans="1:9" x14ac:dyDescent="0.3">
      <c r="A177" t="s">
        <v>9</v>
      </c>
      <c r="B177" s="1">
        <v>45930</v>
      </c>
      <c r="C177" t="s">
        <v>10</v>
      </c>
      <c r="D177">
        <v>7478</v>
      </c>
      <c r="E177">
        <v>0</v>
      </c>
      <c r="F177">
        <v>-7478</v>
      </c>
      <c r="G177" t="s">
        <v>10</v>
      </c>
      <c r="H177" t="s">
        <v>11</v>
      </c>
      <c r="I177" t="s">
        <v>12</v>
      </c>
    </row>
    <row r="178" spans="1:9" x14ac:dyDescent="0.3">
      <c r="A178" t="s">
        <v>4</v>
      </c>
      <c r="B178" s="1">
        <v>45931</v>
      </c>
      <c r="C178" t="s">
        <v>13</v>
      </c>
      <c r="D178">
        <v>2585</v>
      </c>
      <c r="E178">
        <v>0</v>
      </c>
      <c r="F178">
        <v>-2585</v>
      </c>
      <c r="G178" t="s">
        <v>13</v>
      </c>
      <c r="H178" t="s">
        <v>14</v>
      </c>
      <c r="I178" t="s">
        <v>12</v>
      </c>
    </row>
    <row r="179" spans="1:9" x14ac:dyDescent="0.3">
      <c r="A179" t="s">
        <v>9</v>
      </c>
      <c r="B179" s="1">
        <v>45932</v>
      </c>
      <c r="C179" t="s">
        <v>13</v>
      </c>
      <c r="D179">
        <v>2490</v>
      </c>
      <c r="E179">
        <v>0</v>
      </c>
      <c r="F179">
        <v>-2490</v>
      </c>
      <c r="G179" t="s">
        <v>13</v>
      </c>
      <c r="H179" t="s">
        <v>14</v>
      </c>
      <c r="I179" t="s">
        <v>12</v>
      </c>
    </row>
    <row r="180" spans="1:9" x14ac:dyDescent="0.3">
      <c r="A180" t="s">
        <v>4</v>
      </c>
      <c r="B180" s="1">
        <v>45932</v>
      </c>
      <c r="C180" t="s">
        <v>20</v>
      </c>
      <c r="D180">
        <v>5245</v>
      </c>
      <c r="E180">
        <v>0</v>
      </c>
      <c r="F180">
        <v>-5245</v>
      </c>
      <c r="G180" t="s">
        <v>20</v>
      </c>
      <c r="H180" t="s">
        <v>21</v>
      </c>
      <c r="I180" t="s">
        <v>12</v>
      </c>
    </row>
    <row r="181" spans="1:9" x14ac:dyDescent="0.3">
      <c r="A181" t="s">
        <v>4</v>
      </c>
      <c r="B181" s="1">
        <v>45932</v>
      </c>
      <c r="C181" t="s">
        <v>15</v>
      </c>
      <c r="D181">
        <v>6364</v>
      </c>
      <c r="E181">
        <v>0</v>
      </c>
      <c r="F181">
        <v>-6364</v>
      </c>
      <c r="G181" t="s">
        <v>15</v>
      </c>
      <c r="H181" t="s">
        <v>16</v>
      </c>
      <c r="I181" t="s">
        <v>12</v>
      </c>
    </row>
    <row r="182" spans="1:9" x14ac:dyDescent="0.3">
      <c r="A182" t="s">
        <v>4</v>
      </c>
      <c r="B182" s="1">
        <v>45933</v>
      </c>
      <c r="C182" t="s">
        <v>10</v>
      </c>
      <c r="D182">
        <v>5701</v>
      </c>
      <c r="E182">
        <v>0</v>
      </c>
      <c r="F182">
        <v>-5701</v>
      </c>
      <c r="G182" t="s">
        <v>10</v>
      </c>
      <c r="H182" t="s">
        <v>11</v>
      </c>
      <c r="I182" t="s">
        <v>12</v>
      </c>
    </row>
    <row r="183" spans="1:9" x14ac:dyDescent="0.3">
      <c r="A183" t="s">
        <v>9</v>
      </c>
      <c r="B183" s="1">
        <v>45933</v>
      </c>
      <c r="C183" t="s">
        <v>25</v>
      </c>
      <c r="D183">
        <v>0</v>
      </c>
      <c r="E183">
        <v>18159</v>
      </c>
      <c r="F183">
        <v>18159</v>
      </c>
      <c r="G183" t="s">
        <v>25</v>
      </c>
      <c r="H183" t="s">
        <v>23</v>
      </c>
      <c r="I183" t="s">
        <v>23</v>
      </c>
    </row>
    <row r="184" spans="1:9" x14ac:dyDescent="0.3">
      <c r="A184" t="s">
        <v>4</v>
      </c>
      <c r="B184" s="1">
        <v>45933</v>
      </c>
      <c r="C184" t="s">
        <v>15</v>
      </c>
      <c r="D184">
        <v>5088</v>
      </c>
      <c r="E184">
        <v>0</v>
      </c>
      <c r="F184">
        <v>-5088</v>
      </c>
      <c r="G184" t="s">
        <v>15</v>
      </c>
      <c r="H184" t="s">
        <v>16</v>
      </c>
      <c r="I184" t="s">
        <v>12</v>
      </c>
    </row>
    <row r="185" spans="1:9" x14ac:dyDescent="0.3">
      <c r="A185" t="s">
        <v>9</v>
      </c>
      <c r="B185" s="1">
        <v>45934</v>
      </c>
      <c r="C185" t="s">
        <v>19</v>
      </c>
      <c r="D185">
        <v>912</v>
      </c>
      <c r="E185">
        <v>0</v>
      </c>
      <c r="F185">
        <v>-912</v>
      </c>
      <c r="G185" t="s">
        <v>19</v>
      </c>
      <c r="H185" t="s">
        <v>16</v>
      </c>
      <c r="I185" t="s">
        <v>12</v>
      </c>
    </row>
    <row r="186" spans="1:9" x14ac:dyDescent="0.3">
      <c r="A186" t="s">
        <v>9</v>
      </c>
      <c r="B186" s="1">
        <v>45934</v>
      </c>
      <c r="C186" t="s">
        <v>19</v>
      </c>
      <c r="D186">
        <v>4813</v>
      </c>
      <c r="E186">
        <v>0</v>
      </c>
      <c r="F186">
        <v>-4813</v>
      </c>
      <c r="G186" t="s">
        <v>19</v>
      </c>
      <c r="H186" t="s">
        <v>16</v>
      </c>
      <c r="I186" t="s">
        <v>12</v>
      </c>
    </row>
    <row r="187" spans="1:9" x14ac:dyDescent="0.3">
      <c r="A187" t="s">
        <v>9</v>
      </c>
      <c r="B187" s="1">
        <v>45934</v>
      </c>
      <c r="C187" t="s">
        <v>27</v>
      </c>
      <c r="D187">
        <v>5906</v>
      </c>
      <c r="E187">
        <v>0</v>
      </c>
      <c r="F187">
        <v>-5906</v>
      </c>
      <c r="G187" t="s">
        <v>27</v>
      </c>
      <c r="H187" t="s">
        <v>11</v>
      </c>
      <c r="I187" t="s">
        <v>12</v>
      </c>
    </row>
    <row r="188" spans="1:9" x14ac:dyDescent="0.3">
      <c r="A188" t="s">
        <v>9</v>
      </c>
      <c r="B188" s="1">
        <v>45935</v>
      </c>
      <c r="C188" t="s">
        <v>24</v>
      </c>
      <c r="D188">
        <v>0</v>
      </c>
      <c r="E188">
        <v>34194</v>
      </c>
      <c r="F188">
        <v>34194</v>
      </c>
      <c r="G188" t="s">
        <v>24</v>
      </c>
      <c r="H188" t="s">
        <v>23</v>
      </c>
      <c r="I188" t="s">
        <v>23</v>
      </c>
    </row>
    <row r="189" spans="1:9" x14ac:dyDescent="0.3">
      <c r="A189" t="s">
        <v>4</v>
      </c>
      <c r="B189" s="1">
        <v>45935</v>
      </c>
      <c r="C189" t="s">
        <v>19</v>
      </c>
      <c r="D189">
        <v>5260</v>
      </c>
      <c r="E189">
        <v>0</v>
      </c>
      <c r="F189">
        <v>-5260</v>
      </c>
      <c r="G189" t="s">
        <v>19</v>
      </c>
      <c r="H189" t="s">
        <v>16</v>
      </c>
      <c r="I189" t="s">
        <v>12</v>
      </c>
    </row>
    <row r="190" spans="1:9" x14ac:dyDescent="0.3">
      <c r="A190" t="s">
        <v>4</v>
      </c>
      <c r="B190" s="1">
        <v>45935</v>
      </c>
      <c r="C190" t="s">
        <v>10</v>
      </c>
      <c r="D190">
        <v>325</v>
      </c>
      <c r="E190">
        <v>0</v>
      </c>
      <c r="F190">
        <v>-325</v>
      </c>
      <c r="G190" t="s">
        <v>10</v>
      </c>
      <c r="H190" t="s">
        <v>11</v>
      </c>
      <c r="I190" t="s">
        <v>12</v>
      </c>
    </row>
    <row r="191" spans="1:9" x14ac:dyDescent="0.3">
      <c r="A191" t="s">
        <v>4</v>
      </c>
      <c r="B191" s="1">
        <v>45936</v>
      </c>
      <c r="C191" t="s">
        <v>15</v>
      </c>
      <c r="D191">
        <v>1813</v>
      </c>
      <c r="E191">
        <v>0</v>
      </c>
      <c r="F191">
        <v>-1813</v>
      </c>
      <c r="G191" t="s">
        <v>15</v>
      </c>
      <c r="H191" t="s">
        <v>16</v>
      </c>
      <c r="I191" t="s">
        <v>12</v>
      </c>
    </row>
    <row r="192" spans="1:9" x14ac:dyDescent="0.3">
      <c r="A192" t="s">
        <v>4</v>
      </c>
      <c r="B192" s="1">
        <v>45937</v>
      </c>
      <c r="C192" t="s">
        <v>15</v>
      </c>
      <c r="D192">
        <v>4227</v>
      </c>
      <c r="E192">
        <v>0</v>
      </c>
      <c r="F192">
        <v>-4227</v>
      </c>
      <c r="G192" t="s">
        <v>15</v>
      </c>
      <c r="H192" t="s">
        <v>16</v>
      </c>
      <c r="I192" t="s">
        <v>12</v>
      </c>
    </row>
    <row r="193" spans="1:9" x14ac:dyDescent="0.3">
      <c r="A193" t="s">
        <v>9</v>
      </c>
      <c r="B193" s="1">
        <v>45937</v>
      </c>
      <c r="C193" t="s">
        <v>17</v>
      </c>
      <c r="D193">
        <v>5698</v>
      </c>
      <c r="E193">
        <v>0</v>
      </c>
      <c r="F193">
        <v>-5698</v>
      </c>
      <c r="G193" t="s">
        <v>17</v>
      </c>
      <c r="H193" t="s">
        <v>18</v>
      </c>
      <c r="I193" t="s">
        <v>12</v>
      </c>
    </row>
    <row r="194" spans="1:9" x14ac:dyDescent="0.3">
      <c r="A194" t="s">
        <v>4</v>
      </c>
      <c r="B194" s="1">
        <v>45937</v>
      </c>
      <c r="C194" t="s">
        <v>20</v>
      </c>
      <c r="D194">
        <v>4538</v>
      </c>
      <c r="E194">
        <v>0</v>
      </c>
      <c r="F194">
        <v>-4538</v>
      </c>
      <c r="G194" t="s">
        <v>20</v>
      </c>
      <c r="H194" t="s">
        <v>21</v>
      </c>
      <c r="I194" t="s">
        <v>12</v>
      </c>
    </row>
    <row r="195" spans="1:9" x14ac:dyDescent="0.3">
      <c r="A195" t="s">
        <v>9</v>
      </c>
      <c r="B195" s="1">
        <v>45938</v>
      </c>
      <c r="C195" t="s">
        <v>19</v>
      </c>
      <c r="D195">
        <v>5762</v>
      </c>
      <c r="E195">
        <v>0</v>
      </c>
      <c r="F195">
        <v>-5762</v>
      </c>
      <c r="G195" t="s">
        <v>19</v>
      </c>
      <c r="H195" t="s">
        <v>16</v>
      </c>
      <c r="I195" t="s">
        <v>12</v>
      </c>
    </row>
    <row r="196" spans="1:9" x14ac:dyDescent="0.3">
      <c r="A196" t="s">
        <v>9</v>
      </c>
      <c r="B196" s="1">
        <v>45938</v>
      </c>
      <c r="C196" t="s">
        <v>25</v>
      </c>
      <c r="D196">
        <v>0</v>
      </c>
      <c r="E196">
        <v>12769</v>
      </c>
      <c r="F196">
        <v>12769</v>
      </c>
      <c r="G196" t="s">
        <v>25</v>
      </c>
      <c r="H196" t="s">
        <v>23</v>
      </c>
      <c r="I196" t="s">
        <v>23</v>
      </c>
    </row>
    <row r="197" spans="1:9" x14ac:dyDescent="0.3">
      <c r="A197" t="s">
        <v>9</v>
      </c>
      <c r="B197" s="1">
        <v>45938</v>
      </c>
      <c r="C197" t="s">
        <v>27</v>
      </c>
      <c r="D197">
        <v>6515</v>
      </c>
      <c r="E197">
        <v>0</v>
      </c>
      <c r="F197">
        <v>-6515</v>
      </c>
      <c r="G197" t="s">
        <v>27</v>
      </c>
      <c r="H197" t="s">
        <v>11</v>
      </c>
      <c r="I197" t="s">
        <v>12</v>
      </c>
    </row>
    <row r="198" spans="1:9" x14ac:dyDescent="0.3">
      <c r="A198" t="s">
        <v>4</v>
      </c>
      <c r="B198" s="1">
        <v>45939</v>
      </c>
      <c r="C198" t="s">
        <v>26</v>
      </c>
      <c r="D198">
        <v>476</v>
      </c>
      <c r="E198">
        <v>0</v>
      </c>
      <c r="F198">
        <v>-476</v>
      </c>
      <c r="G198" t="s">
        <v>26</v>
      </c>
      <c r="H198" t="s">
        <v>18</v>
      </c>
      <c r="I198" t="s">
        <v>12</v>
      </c>
    </row>
    <row r="199" spans="1:9" x14ac:dyDescent="0.3">
      <c r="A199" t="s">
        <v>4</v>
      </c>
      <c r="B199" s="1">
        <v>45939</v>
      </c>
      <c r="C199" t="s">
        <v>27</v>
      </c>
      <c r="D199">
        <v>1580</v>
      </c>
      <c r="E199">
        <v>0</v>
      </c>
      <c r="F199">
        <v>-1580</v>
      </c>
      <c r="G199" t="s">
        <v>27</v>
      </c>
      <c r="H199" t="s">
        <v>11</v>
      </c>
      <c r="I199" t="s">
        <v>12</v>
      </c>
    </row>
    <row r="200" spans="1:9" x14ac:dyDescent="0.3">
      <c r="A200" t="s">
        <v>4</v>
      </c>
      <c r="B200" s="1">
        <v>45940</v>
      </c>
      <c r="C200" t="s">
        <v>19</v>
      </c>
      <c r="D200">
        <v>3999</v>
      </c>
      <c r="E200">
        <v>0</v>
      </c>
      <c r="F200">
        <v>-3999</v>
      </c>
      <c r="G200" t="s">
        <v>19</v>
      </c>
      <c r="H200" t="s">
        <v>16</v>
      </c>
      <c r="I200" t="s">
        <v>12</v>
      </c>
    </row>
    <row r="201" spans="1:9" x14ac:dyDescent="0.3">
      <c r="A201" t="s">
        <v>9</v>
      </c>
      <c r="B201" s="1">
        <v>45940</v>
      </c>
      <c r="C201" t="s">
        <v>27</v>
      </c>
      <c r="D201">
        <v>1725</v>
      </c>
      <c r="E201">
        <v>0</v>
      </c>
      <c r="F201">
        <v>-1725</v>
      </c>
      <c r="G201" t="s">
        <v>27</v>
      </c>
      <c r="H201" t="s">
        <v>11</v>
      </c>
      <c r="I201" t="s">
        <v>12</v>
      </c>
    </row>
    <row r="202" spans="1:9" x14ac:dyDescent="0.3">
      <c r="A202" t="s">
        <v>4</v>
      </c>
      <c r="B202" s="1">
        <v>45940</v>
      </c>
      <c r="C202" t="s">
        <v>13</v>
      </c>
      <c r="D202">
        <v>1544</v>
      </c>
      <c r="E202">
        <v>0</v>
      </c>
      <c r="F202">
        <v>-1544</v>
      </c>
      <c r="G202" t="s">
        <v>13</v>
      </c>
      <c r="H202" t="s">
        <v>14</v>
      </c>
      <c r="I202" t="s">
        <v>12</v>
      </c>
    </row>
    <row r="203" spans="1:9" x14ac:dyDescent="0.3">
      <c r="A203" t="s">
        <v>4</v>
      </c>
      <c r="B203" s="1">
        <v>45941</v>
      </c>
      <c r="C203" t="s">
        <v>20</v>
      </c>
      <c r="D203">
        <v>1168</v>
      </c>
      <c r="E203">
        <v>0</v>
      </c>
      <c r="F203">
        <v>-1168</v>
      </c>
      <c r="G203" t="s">
        <v>20</v>
      </c>
      <c r="H203" t="s">
        <v>21</v>
      </c>
      <c r="I203" t="s">
        <v>12</v>
      </c>
    </row>
    <row r="204" spans="1:9" x14ac:dyDescent="0.3">
      <c r="A204" t="s">
        <v>9</v>
      </c>
      <c r="B204" s="1">
        <v>45941</v>
      </c>
      <c r="C204" t="s">
        <v>27</v>
      </c>
      <c r="D204">
        <v>1013</v>
      </c>
      <c r="E204">
        <v>0</v>
      </c>
      <c r="F204">
        <v>-1013</v>
      </c>
      <c r="G204" t="s">
        <v>27</v>
      </c>
      <c r="H204" t="s">
        <v>11</v>
      </c>
      <c r="I204" t="s">
        <v>12</v>
      </c>
    </row>
    <row r="205" spans="1:9" x14ac:dyDescent="0.3">
      <c r="A205" t="s">
        <v>4</v>
      </c>
      <c r="B205" s="1">
        <v>45941</v>
      </c>
      <c r="C205" t="s">
        <v>25</v>
      </c>
      <c r="D205">
        <v>0</v>
      </c>
      <c r="E205">
        <v>13537</v>
      </c>
      <c r="F205">
        <v>13537</v>
      </c>
      <c r="G205" t="s">
        <v>25</v>
      </c>
      <c r="H205" t="s">
        <v>23</v>
      </c>
      <c r="I205" t="s">
        <v>23</v>
      </c>
    </row>
    <row r="206" spans="1:9" x14ac:dyDescent="0.3">
      <c r="A206" t="s">
        <v>4</v>
      </c>
      <c r="B206" s="1">
        <v>45942</v>
      </c>
      <c r="C206" t="s">
        <v>15</v>
      </c>
      <c r="D206">
        <v>6717</v>
      </c>
      <c r="E206">
        <v>0</v>
      </c>
      <c r="F206">
        <v>-6717</v>
      </c>
      <c r="G206" t="s">
        <v>15</v>
      </c>
      <c r="H206" t="s">
        <v>16</v>
      </c>
      <c r="I206" t="s">
        <v>12</v>
      </c>
    </row>
    <row r="207" spans="1:9" x14ac:dyDescent="0.3">
      <c r="A207" t="s">
        <v>4</v>
      </c>
      <c r="B207" s="1">
        <v>45943</v>
      </c>
      <c r="C207" t="s">
        <v>26</v>
      </c>
      <c r="D207">
        <v>6850</v>
      </c>
      <c r="E207">
        <v>0</v>
      </c>
      <c r="F207">
        <v>-6850</v>
      </c>
      <c r="G207" t="s">
        <v>26</v>
      </c>
      <c r="H207" t="s">
        <v>18</v>
      </c>
      <c r="I207" t="s">
        <v>12</v>
      </c>
    </row>
    <row r="208" spans="1:9" x14ac:dyDescent="0.3">
      <c r="A208" t="s">
        <v>4</v>
      </c>
      <c r="B208" s="1">
        <v>45944</v>
      </c>
      <c r="C208" t="s">
        <v>17</v>
      </c>
      <c r="D208">
        <v>6356</v>
      </c>
      <c r="E208">
        <v>0</v>
      </c>
      <c r="F208">
        <v>-6356</v>
      </c>
      <c r="G208" t="s">
        <v>17</v>
      </c>
      <c r="H208" t="s">
        <v>18</v>
      </c>
      <c r="I208" t="s">
        <v>12</v>
      </c>
    </row>
    <row r="209" spans="1:9" x14ac:dyDescent="0.3">
      <c r="A209" t="s">
        <v>4</v>
      </c>
      <c r="B209" s="1">
        <v>45944</v>
      </c>
      <c r="C209" t="s">
        <v>27</v>
      </c>
      <c r="D209">
        <v>3131</v>
      </c>
      <c r="E209">
        <v>0</v>
      </c>
      <c r="F209">
        <v>-3131</v>
      </c>
      <c r="G209" t="s">
        <v>27</v>
      </c>
      <c r="H209" t="s">
        <v>11</v>
      </c>
      <c r="I209" t="s">
        <v>12</v>
      </c>
    </row>
    <row r="210" spans="1:9" x14ac:dyDescent="0.3">
      <c r="A210" t="s">
        <v>9</v>
      </c>
      <c r="B210" s="1">
        <v>45944</v>
      </c>
      <c r="C210" t="s">
        <v>20</v>
      </c>
      <c r="D210">
        <v>7104</v>
      </c>
      <c r="E210">
        <v>0</v>
      </c>
      <c r="F210">
        <v>-7104</v>
      </c>
      <c r="G210" t="s">
        <v>20</v>
      </c>
      <c r="H210" t="s">
        <v>21</v>
      </c>
      <c r="I210" t="s">
        <v>12</v>
      </c>
    </row>
    <row r="211" spans="1:9" x14ac:dyDescent="0.3">
      <c r="A211" t="s">
        <v>4</v>
      </c>
      <c r="B211" s="1">
        <v>45945</v>
      </c>
      <c r="C211" t="s">
        <v>22</v>
      </c>
      <c r="D211">
        <v>0</v>
      </c>
      <c r="E211">
        <v>49000</v>
      </c>
      <c r="F211">
        <v>49000</v>
      </c>
      <c r="G211" t="s">
        <v>22</v>
      </c>
      <c r="H211" t="s">
        <v>23</v>
      </c>
      <c r="I211" t="s">
        <v>23</v>
      </c>
    </row>
    <row r="212" spans="1:9" x14ac:dyDescent="0.3">
      <c r="A212" t="s">
        <v>4</v>
      </c>
      <c r="B212" s="1">
        <v>45946</v>
      </c>
      <c r="C212" t="s">
        <v>19</v>
      </c>
      <c r="D212">
        <v>7442</v>
      </c>
      <c r="E212">
        <v>0</v>
      </c>
      <c r="F212">
        <v>-7442</v>
      </c>
      <c r="G212" t="s">
        <v>19</v>
      </c>
      <c r="H212" t="s">
        <v>16</v>
      </c>
      <c r="I212" t="s">
        <v>12</v>
      </c>
    </row>
    <row r="213" spans="1:9" x14ac:dyDescent="0.3">
      <c r="A213" t="s">
        <v>9</v>
      </c>
      <c r="B213" s="1">
        <v>45946</v>
      </c>
      <c r="C213" t="s">
        <v>15</v>
      </c>
      <c r="D213">
        <v>2192</v>
      </c>
      <c r="E213">
        <v>0</v>
      </c>
      <c r="F213">
        <v>-2192</v>
      </c>
      <c r="G213" t="s">
        <v>15</v>
      </c>
      <c r="H213" t="s">
        <v>16</v>
      </c>
      <c r="I213" t="s">
        <v>12</v>
      </c>
    </row>
    <row r="214" spans="1:9" x14ac:dyDescent="0.3">
      <c r="A214" t="s">
        <v>9</v>
      </c>
      <c r="B214" s="1">
        <v>45946</v>
      </c>
      <c r="C214" t="s">
        <v>19</v>
      </c>
      <c r="D214">
        <v>2177</v>
      </c>
      <c r="E214">
        <v>0</v>
      </c>
      <c r="F214">
        <v>-2177</v>
      </c>
      <c r="G214" t="s">
        <v>19</v>
      </c>
      <c r="H214" t="s">
        <v>16</v>
      </c>
      <c r="I214" t="s">
        <v>12</v>
      </c>
    </row>
    <row r="215" spans="1:9" x14ac:dyDescent="0.3">
      <c r="A215" t="s">
        <v>4</v>
      </c>
      <c r="B215" s="1">
        <v>45947</v>
      </c>
      <c r="C215" t="s">
        <v>15</v>
      </c>
      <c r="D215">
        <v>2104</v>
      </c>
      <c r="E215">
        <v>0</v>
      </c>
      <c r="F215">
        <v>-2104</v>
      </c>
      <c r="G215" t="s">
        <v>15</v>
      </c>
      <c r="H215" t="s">
        <v>16</v>
      </c>
      <c r="I215" t="s">
        <v>12</v>
      </c>
    </row>
    <row r="216" spans="1:9" x14ac:dyDescent="0.3">
      <c r="A216" t="s">
        <v>4</v>
      </c>
      <c r="B216" s="1">
        <v>45947</v>
      </c>
      <c r="C216" t="s">
        <v>15</v>
      </c>
      <c r="D216">
        <v>7516</v>
      </c>
      <c r="E216">
        <v>0</v>
      </c>
      <c r="F216">
        <v>-7516</v>
      </c>
      <c r="G216" t="s">
        <v>15</v>
      </c>
      <c r="H216" t="s">
        <v>16</v>
      </c>
      <c r="I216" t="s">
        <v>12</v>
      </c>
    </row>
    <row r="217" spans="1:9" x14ac:dyDescent="0.3">
      <c r="A217" t="s">
        <v>9</v>
      </c>
      <c r="B217" s="1">
        <v>45948</v>
      </c>
      <c r="C217" t="s">
        <v>20</v>
      </c>
      <c r="D217">
        <v>3167</v>
      </c>
      <c r="E217">
        <v>0</v>
      </c>
      <c r="F217">
        <v>-3167</v>
      </c>
      <c r="G217" t="s">
        <v>20</v>
      </c>
      <c r="H217" t="s">
        <v>21</v>
      </c>
      <c r="I217" t="s">
        <v>12</v>
      </c>
    </row>
    <row r="218" spans="1:9" x14ac:dyDescent="0.3">
      <c r="A218" t="s">
        <v>4</v>
      </c>
      <c r="B218" s="1">
        <v>45948</v>
      </c>
      <c r="C218" t="s">
        <v>19</v>
      </c>
      <c r="D218">
        <v>5806</v>
      </c>
      <c r="E218">
        <v>0</v>
      </c>
      <c r="F218">
        <v>-5806</v>
      </c>
      <c r="G218" t="s">
        <v>19</v>
      </c>
      <c r="H218" t="s">
        <v>16</v>
      </c>
      <c r="I218" t="s">
        <v>12</v>
      </c>
    </row>
    <row r="219" spans="1:9" x14ac:dyDescent="0.3">
      <c r="A219" t="s">
        <v>9</v>
      </c>
      <c r="B219" s="1">
        <v>45949</v>
      </c>
      <c r="C219" t="s">
        <v>19</v>
      </c>
      <c r="D219">
        <v>771</v>
      </c>
      <c r="E219">
        <v>0</v>
      </c>
      <c r="F219">
        <v>-771</v>
      </c>
      <c r="G219" t="s">
        <v>19</v>
      </c>
      <c r="H219" t="s">
        <v>16</v>
      </c>
      <c r="I219" t="s">
        <v>12</v>
      </c>
    </row>
    <row r="220" spans="1:9" x14ac:dyDescent="0.3">
      <c r="A220" t="s">
        <v>4</v>
      </c>
      <c r="B220" s="1">
        <v>45949</v>
      </c>
      <c r="C220" t="s">
        <v>13</v>
      </c>
      <c r="D220">
        <v>2816</v>
      </c>
      <c r="E220">
        <v>0</v>
      </c>
      <c r="F220">
        <v>-2816</v>
      </c>
      <c r="G220" t="s">
        <v>13</v>
      </c>
      <c r="H220" t="s">
        <v>14</v>
      </c>
      <c r="I220" t="s">
        <v>12</v>
      </c>
    </row>
    <row r="221" spans="1:9" x14ac:dyDescent="0.3">
      <c r="A221" t="s">
        <v>4</v>
      </c>
      <c r="B221" s="1">
        <v>45950</v>
      </c>
      <c r="C221" t="s">
        <v>20</v>
      </c>
      <c r="D221">
        <v>3393</v>
      </c>
      <c r="E221">
        <v>0</v>
      </c>
      <c r="F221">
        <v>-3393</v>
      </c>
      <c r="G221" t="s">
        <v>20</v>
      </c>
      <c r="H221" t="s">
        <v>21</v>
      </c>
      <c r="I221" t="s">
        <v>12</v>
      </c>
    </row>
    <row r="222" spans="1:9" x14ac:dyDescent="0.3">
      <c r="A222" t="s">
        <v>4</v>
      </c>
      <c r="B222" s="1">
        <v>45950</v>
      </c>
      <c r="C222" t="s">
        <v>26</v>
      </c>
      <c r="D222">
        <v>6609</v>
      </c>
      <c r="E222">
        <v>0</v>
      </c>
      <c r="F222">
        <v>-6609</v>
      </c>
      <c r="G222" t="s">
        <v>26</v>
      </c>
      <c r="H222" t="s">
        <v>18</v>
      </c>
      <c r="I222" t="s">
        <v>12</v>
      </c>
    </row>
    <row r="223" spans="1:9" x14ac:dyDescent="0.3">
      <c r="A223" t="s">
        <v>9</v>
      </c>
      <c r="B223" s="1">
        <v>45950</v>
      </c>
      <c r="C223" t="s">
        <v>26</v>
      </c>
      <c r="D223">
        <v>1846</v>
      </c>
      <c r="E223">
        <v>0</v>
      </c>
      <c r="F223">
        <v>-1846</v>
      </c>
      <c r="G223" t="s">
        <v>26</v>
      </c>
      <c r="H223" t="s">
        <v>18</v>
      </c>
      <c r="I223" t="s">
        <v>12</v>
      </c>
    </row>
    <row r="224" spans="1:9" x14ac:dyDescent="0.3">
      <c r="A224" t="s">
        <v>4</v>
      </c>
      <c r="B224" s="1">
        <v>45951</v>
      </c>
      <c r="C224" t="s">
        <v>15</v>
      </c>
      <c r="D224">
        <v>4221</v>
      </c>
      <c r="E224">
        <v>0</v>
      </c>
      <c r="F224">
        <v>-4221</v>
      </c>
      <c r="G224" t="s">
        <v>15</v>
      </c>
      <c r="H224" t="s">
        <v>16</v>
      </c>
      <c r="I224" t="s">
        <v>12</v>
      </c>
    </row>
    <row r="225" spans="1:9" x14ac:dyDescent="0.3">
      <c r="A225" t="s">
        <v>9</v>
      </c>
      <c r="B225" s="1">
        <v>45951</v>
      </c>
      <c r="C225" t="s">
        <v>25</v>
      </c>
      <c r="D225">
        <v>0</v>
      </c>
      <c r="E225">
        <v>46491</v>
      </c>
      <c r="F225">
        <v>46491</v>
      </c>
      <c r="G225" t="s">
        <v>25</v>
      </c>
      <c r="H225" t="s">
        <v>23</v>
      </c>
      <c r="I225" t="s">
        <v>23</v>
      </c>
    </row>
    <row r="226" spans="1:9" x14ac:dyDescent="0.3">
      <c r="A226" t="s">
        <v>4</v>
      </c>
      <c r="B226" s="1">
        <v>45952</v>
      </c>
      <c r="C226" t="s">
        <v>10</v>
      </c>
      <c r="D226">
        <v>3608</v>
      </c>
      <c r="E226">
        <v>0</v>
      </c>
      <c r="F226">
        <v>-3608</v>
      </c>
      <c r="G226" t="s">
        <v>10</v>
      </c>
      <c r="H226" t="s">
        <v>11</v>
      </c>
      <c r="I226" t="s">
        <v>12</v>
      </c>
    </row>
    <row r="227" spans="1:9" x14ac:dyDescent="0.3">
      <c r="A227" t="s">
        <v>9</v>
      </c>
      <c r="B227" s="1">
        <v>45953</v>
      </c>
      <c r="C227" t="s">
        <v>19</v>
      </c>
      <c r="D227">
        <v>6899</v>
      </c>
      <c r="E227">
        <v>0</v>
      </c>
      <c r="F227">
        <v>-6899</v>
      </c>
      <c r="G227" t="s">
        <v>19</v>
      </c>
      <c r="H227" t="s">
        <v>16</v>
      </c>
      <c r="I227" t="s">
        <v>12</v>
      </c>
    </row>
    <row r="228" spans="1:9" x14ac:dyDescent="0.3">
      <c r="A228" t="s">
        <v>9</v>
      </c>
      <c r="B228" s="1">
        <v>45954</v>
      </c>
      <c r="C228" t="s">
        <v>10</v>
      </c>
      <c r="D228">
        <v>620</v>
      </c>
      <c r="E228">
        <v>0</v>
      </c>
      <c r="F228">
        <v>-620</v>
      </c>
      <c r="G228" t="s">
        <v>10</v>
      </c>
      <c r="H228" t="s">
        <v>11</v>
      </c>
      <c r="I228" t="s">
        <v>12</v>
      </c>
    </row>
    <row r="229" spans="1:9" x14ac:dyDescent="0.3">
      <c r="A229" t="s">
        <v>4</v>
      </c>
      <c r="B229" s="1">
        <v>45955</v>
      </c>
      <c r="C229" t="s">
        <v>10</v>
      </c>
      <c r="D229">
        <v>4848</v>
      </c>
      <c r="E229">
        <v>0</v>
      </c>
      <c r="F229">
        <v>-4848</v>
      </c>
      <c r="G229" t="s">
        <v>10</v>
      </c>
      <c r="H229" t="s">
        <v>11</v>
      </c>
      <c r="I229" t="s">
        <v>12</v>
      </c>
    </row>
    <row r="230" spans="1:9" x14ac:dyDescent="0.3">
      <c r="A230" t="s">
        <v>4</v>
      </c>
      <c r="B230" s="1">
        <v>45956</v>
      </c>
      <c r="C230" t="s">
        <v>22</v>
      </c>
      <c r="D230">
        <v>0</v>
      </c>
      <c r="E230">
        <v>12102</v>
      </c>
      <c r="F230">
        <v>12102</v>
      </c>
      <c r="G230" t="s">
        <v>22</v>
      </c>
      <c r="H230" t="s">
        <v>23</v>
      </c>
      <c r="I230" t="s">
        <v>23</v>
      </c>
    </row>
    <row r="231" spans="1:9" x14ac:dyDescent="0.3">
      <c r="A231" t="s">
        <v>4</v>
      </c>
      <c r="B231" s="1">
        <v>45957</v>
      </c>
      <c r="C231" t="s">
        <v>17</v>
      </c>
      <c r="D231">
        <v>5832</v>
      </c>
      <c r="E231">
        <v>0</v>
      </c>
      <c r="F231">
        <v>-5832</v>
      </c>
      <c r="G231" t="s">
        <v>17</v>
      </c>
      <c r="H231" t="s">
        <v>18</v>
      </c>
      <c r="I231" t="s">
        <v>12</v>
      </c>
    </row>
    <row r="232" spans="1:9" x14ac:dyDescent="0.3">
      <c r="A232" t="s">
        <v>9</v>
      </c>
      <c r="B232" s="1">
        <v>45957</v>
      </c>
      <c r="C232" t="s">
        <v>13</v>
      </c>
      <c r="D232">
        <v>6731</v>
      </c>
      <c r="E232">
        <v>0</v>
      </c>
      <c r="F232">
        <v>-6731</v>
      </c>
      <c r="G232" t="s">
        <v>13</v>
      </c>
      <c r="H232" t="s">
        <v>14</v>
      </c>
      <c r="I232" t="s">
        <v>12</v>
      </c>
    </row>
    <row r="233" spans="1:9" x14ac:dyDescent="0.3">
      <c r="A233" t="s">
        <v>4</v>
      </c>
      <c r="B233" s="1">
        <v>45958</v>
      </c>
      <c r="C233" t="s">
        <v>17</v>
      </c>
      <c r="D233">
        <v>3262</v>
      </c>
      <c r="E233">
        <v>0</v>
      </c>
      <c r="F233">
        <v>-3262</v>
      </c>
      <c r="G233" t="s">
        <v>17</v>
      </c>
      <c r="H233" t="s">
        <v>18</v>
      </c>
      <c r="I233" t="s">
        <v>12</v>
      </c>
    </row>
    <row r="234" spans="1:9" x14ac:dyDescent="0.3">
      <c r="A234" t="s">
        <v>4</v>
      </c>
      <c r="B234" s="1">
        <v>45958</v>
      </c>
      <c r="C234" t="s">
        <v>17</v>
      </c>
      <c r="D234">
        <v>360</v>
      </c>
      <c r="E234">
        <v>0</v>
      </c>
      <c r="F234">
        <v>-360</v>
      </c>
      <c r="G234" t="s">
        <v>17</v>
      </c>
      <c r="H234" t="s">
        <v>18</v>
      </c>
      <c r="I234" t="s">
        <v>12</v>
      </c>
    </row>
    <row r="235" spans="1:9" x14ac:dyDescent="0.3">
      <c r="A235" t="s">
        <v>9</v>
      </c>
      <c r="B235" s="1">
        <v>45959</v>
      </c>
      <c r="C235" t="s">
        <v>17</v>
      </c>
      <c r="D235">
        <v>4170</v>
      </c>
      <c r="E235">
        <v>0</v>
      </c>
      <c r="F235">
        <v>-4170</v>
      </c>
      <c r="G235" t="s">
        <v>17</v>
      </c>
      <c r="H235" t="s">
        <v>18</v>
      </c>
      <c r="I235" t="s">
        <v>12</v>
      </c>
    </row>
    <row r="236" spans="1:9" x14ac:dyDescent="0.3">
      <c r="A236" t="s">
        <v>4</v>
      </c>
      <c r="B236" s="1">
        <v>45960</v>
      </c>
      <c r="C236" t="s">
        <v>20</v>
      </c>
      <c r="D236">
        <v>7944</v>
      </c>
      <c r="E236">
        <v>0</v>
      </c>
      <c r="F236">
        <v>-7944</v>
      </c>
      <c r="G236" t="s">
        <v>20</v>
      </c>
      <c r="H236" t="s">
        <v>21</v>
      </c>
      <c r="I236" t="s">
        <v>12</v>
      </c>
    </row>
    <row r="237" spans="1:9" x14ac:dyDescent="0.3">
      <c r="A237" t="s">
        <v>9</v>
      </c>
      <c r="B237" s="1">
        <v>45960</v>
      </c>
      <c r="C237" t="s">
        <v>19</v>
      </c>
      <c r="D237">
        <v>6876</v>
      </c>
      <c r="E237">
        <v>0</v>
      </c>
      <c r="F237">
        <v>-6876</v>
      </c>
      <c r="G237" t="s">
        <v>19</v>
      </c>
      <c r="H237" t="s">
        <v>16</v>
      </c>
      <c r="I237" t="s">
        <v>12</v>
      </c>
    </row>
    <row r="238" spans="1:9" x14ac:dyDescent="0.3">
      <c r="A238" t="s">
        <v>9</v>
      </c>
      <c r="B238" s="1">
        <v>45960</v>
      </c>
      <c r="C238" t="s">
        <v>19</v>
      </c>
      <c r="D238">
        <v>6295</v>
      </c>
      <c r="E238">
        <v>0</v>
      </c>
      <c r="F238">
        <v>-6295</v>
      </c>
      <c r="G238" t="s">
        <v>19</v>
      </c>
      <c r="H238" t="s">
        <v>16</v>
      </c>
      <c r="I238" t="s">
        <v>12</v>
      </c>
    </row>
    <row r="239" spans="1:9" x14ac:dyDescent="0.3">
      <c r="A239" t="s">
        <v>9</v>
      </c>
      <c r="B239" s="1">
        <v>45961</v>
      </c>
      <c r="C239" t="s">
        <v>17</v>
      </c>
      <c r="D239">
        <v>1280</v>
      </c>
      <c r="E239">
        <v>0</v>
      </c>
      <c r="F239">
        <v>-1280</v>
      </c>
      <c r="G239" t="s">
        <v>17</v>
      </c>
      <c r="H239" t="s">
        <v>18</v>
      </c>
      <c r="I239" t="s">
        <v>12</v>
      </c>
    </row>
    <row r="240" spans="1:9" x14ac:dyDescent="0.3">
      <c r="A240" t="s">
        <v>9</v>
      </c>
      <c r="B240" s="1">
        <v>45962</v>
      </c>
      <c r="C240" t="s">
        <v>17</v>
      </c>
      <c r="D240">
        <v>6982</v>
      </c>
      <c r="E240">
        <v>0</v>
      </c>
      <c r="F240">
        <v>-6982</v>
      </c>
      <c r="G240" t="s">
        <v>17</v>
      </c>
      <c r="H240" t="s">
        <v>18</v>
      </c>
      <c r="I240" t="s">
        <v>12</v>
      </c>
    </row>
    <row r="241" spans="1:9" x14ac:dyDescent="0.3">
      <c r="A241" t="s">
        <v>9</v>
      </c>
      <c r="B241" s="1">
        <v>45962</v>
      </c>
      <c r="C241" t="s">
        <v>15</v>
      </c>
      <c r="D241">
        <v>5250</v>
      </c>
      <c r="E241">
        <v>0</v>
      </c>
      <c r="F241">
        <v>-5250</v>
      </c>
      <c r="G241" t="s">
        <v>15</v>
      </c>
      <c r="H241" t="s">
        <v>16</v>
      </c>
      <c r="I241" t="s">
        <v>12</v>
      </c>
    </row>
    <row r="242" spans="1:9" x14ac:dyDescent="0.3">
      <c r="A242" t="s">
        <v>9</v>
      </c>
      <c r="B242" s="1">
        <v>45962</v>
      </c>
      <c r="C242" t="s">
        <v>26</v>
      </c>
      <c r="D242">
        <v>2322</v>
      </c>
      <c r="E242">
        <v>0</v>
      </c>
      <c r="F242">
        <v>-2322</v>
      </c>
      <c r="G242" t="s">
        <v>26</v>
      </c>
      <c r="H242" t="s">
        <v>18</v>
      </c>
      <c r="I242" t="s">
        <v>12</v>
      </c>
    </row>
    <row r="243" spans="1:9" x14ac:dyDescent="0.3">
      <c r="A243" t="s">
        <v>9</v>
      </c>
      <c r="B243" s="1">
        <v>45963</v>
      </c>
      <c r="C243" t="s">
        <v>20</v>
      </c>
      <c r="D243">
        <v>3318</v>
      </c>
      <c r="E243">
        <v>0</v>
      </c>
      <c r="F243">
        <v>-3318</v>
      </c>
      <c r="G243" t="s">
        <v>20</v>
      </c>
      <c r="H243" t="s">
        <v>21</v>
      </c>
      <c r="I243" t="s">
        <v>12</v>
      </c>
    </row>
    <row r="244" spans="1:9" x14ac:dyDescent="0.3">
      <c r="A244" t="s">
        <v>4</v>
      </c>
      <c r="B244" s="1">
        <v>45963</v>
      </c>
      <c r="C244" t="s">
        <v>26</v>
      </c>
      <c r="D244">
        <v>4179</v>
      </c>
      <c r="E244">
        <v>0</v>
      </c>
      <c r="F244">
        <v>-4179</v>
      </c>
      <c r="G244" t="s">
        <v>26</v>
      </c>
      <c r="H244" t="s">
        <v>18</v>
      </c>
      <c r="I244" t="s">
        <v>12</v>
      </c>
    </row>
    <row r="245" spans="1:9" x14ac:dyDescent="0.3">
      <c r="A245" t="s">
        <v>4</v>
      </c>
      <c r="B245" s="1">
        <v>45963</v>
      </c>
      <c r="C245" t="s">
        <v>10</v>
      </c>
      <c r="D245">
        <v>4566</v>
      </c>
      <c r="E245">
        <v>0</v>
      </c>
      <c r="F245">
        <v>-4566</v>
      </c>
      <c r="G245" t="s">
        <v>10</v>
      </c>
      <c r="H245" t="s">
        <v>11</v>
      </c>
      <c r="I245" t="s">
        <v>12</v>
      </c>
    </row>
    <row r="246" spans="1:9" x14ac:dyDescent="0.3">
      <c r="A246" t="s">
        <v>9</v>
      </c>
      <c r="B246" s="1">
        <v>45964</v>
      </c>
      <c r="C246" t="s">
        <v>17</v>
      </c>
      <c r="D246">
        <v>1485</v>
      </c>
      <c r="E246">
        <v>0</v>
      </c>
      <c r="F246">
        <v>-1485</v>
      </c>
      <c r="G246" t="s">
        <v>17</v>
      </c>
      <c r="H246" t="s">
        <v>18</v>
      </c>
      <c r="I246" t="s">
        <v>12</v>
      </c>
    </row>
    <row r="247" spans="1:9" x14ac:dyDescent="0.3">
      <c r="A247" t="s">
        <v>4</v>
      </c>
      <c r="B247" s="1">
        <v>45964</v>
      </c>
      <c r="C247" t="s">
        <v>27</v>
      </c>
      <c r="D247">
        <v>210</v>
      </c>
      <c r="E247">
        <v>0</v>
      </c>
      <c r="F247">
        <v>-210</v>
      </c>
      <c r="G247" t="s">
        <v>27</v>
      </c>
      <c r="H247" t="s">
        <v>11</v>
      </c>
      <c r="I247" t="s">
        <v>12</v>
      </c>
    </row>
    <row r="248" spans="1:9" x14ac:dyDescent="0.3">
      <c r="A248" t="s">
        <v>4</v>
      </c>
      <c r="B248" s="1">
        <v>45964</v>
      </c>
      <c r="C248" t="s">
        <v>19</v>
      </c>
      <c r="D248">
        <v>7899</v>
      </c>
      <c r="E248">
        <v>0</v>
      </c>
      <c r="F248">
        <v>-7899</v>
      </c>
      <c r="G248" t="s">
        <v>19</v>
      </c>
      <c r="H248" t="s">
        <v>16</v>
      </c>
      <c r="I248" t="s">
        <v>12</v>
      </c>
    </row>
    <row r="249" spans="1:9" x14ac:dyDescent="0.3">
      <c r="A249" t="s">
        <v>9</v>
      </c>
      <c r="B249" s="1">
        <v>45965</v>
      </c>
      <c r="C249" t="s">
        <v>27</v>
      </c>
      <c r="D249">
        <v>2334</v>
      </c>
      <c r="E249">
        <v>0</v>
      </c>
      <c r="F249">
        <v>-2334</v>
      </c>
      <c r="G249" t="s">
        <v>27</v>
      </c>
      <c r="H249" t="s">
        <v>11</v>
      </c>
      <c r="I249" t="s">
        <v>12</v>
      </c>
    </row>
    <row r="250" spans="1:9" x14ac:dyDescent="0.3">
      <c r="A250" t="s">
        <v>9</v>
      </c>
      <c r="B250" s="1">
        <v>45966</v>
      </c>
      <c r="C250" t="s">
        <v>10</v>
      </c>
      <c r="D250">
        <v>4116</v>
      </c>
      <c r="E250">
        <v>0</v>
      </c>
      <c r="F250">
        <v>-4116</v>
      </c>
      <c r="G250" t="s">
        <v>10</v>
      </c>
      <c r="H250" t="s">
        <v>11</v>
      </c>
      <c r="I250" t="s">
        <v>12</v>
      </c>
    </row>
    <row r="251" spans="1:9" x14ac:dyDescent="0.3">
      <c r="A251" t="s">
        <v>9</v>
      </c>
      <c r="B251" s="1">
        <v>45966</v>
      </c>
      <c r="C251" t="s">
        <v>10</v>
      </c>
      <c r="D251">
        <v>7914</v>
      </c>
      <c r="E251">
        <v>0</v>
      </c>
      <c r="F251">
        <v>-7914</v>
      </c>
      <c r="G251" t="s">
        <v>10</v>
      </c>
      <c r="H251" t="s">
        <v>11</v>
      </c>
      <c r="I251" t="s">
        <v>12</v>
      </c>
    </row>
    <row r="252" spans="1:9" x14ac:dyDescent="0.3">
      <c r="A252" t="s">
        <v>4</v>
      </c>
      <c r="B252" s="1">
        <v>45967</v>
      </c>
      <c r="C252" t="s">
        <v>20</v>
      </c>
      <c r="D252">
        <v>616</v>
      </c>
      <c r="E252">
        <v>0</v>
      </c>
      <c r="F252">
        <v>-616</v>
      </c>
      <c r="G252" t="s">
        <v>20</v>
      </c>
      <c r="H252" t="s">
        <v>21</v>
      </c>
      <c r="I252" t="s">
        <v>12</v>
      </c>
    </row>
    <row r="253" spans="1:9" x14ac:dyDescent="0.3">
      <c r="A253" t="s">
        <v>9</v>
      </c>
      <c r="B253" s="1">
        <v>45968</v>
      </c>
      <c r="C253" t="s">
        <v>20</v>
      </c>
      <c r="D253">
        <v>2516</v>
      </c>
      <c r="E253">
        <v>0</v>
      </c>
      <c r="F253">
        <v>-2516</v>
      </c>
      <c r="G253" t="s">
        <v>20</v>
      </c>
      <c r="H253" t="s">
        <v>21</v>
      </c>
      <c r="I253" t="s">
        <v>12</v>
      </c>
    </row>
    <row r="254" spans="1:9" x14ac:dyDescent="0.3">
      <c r="A254" t="s">
        <v>4</v>
      </c>
      <c r="B254" s="1">
        <v>45968</v>
      </c>
      <c r="C254" t="s">
        <v>19</v>
      </c>
      <c r="D254">
        <v>3146</v>
      </c>
      <c r="E254">
        <v>0</v>
      </c>
      <c r="F254">
        <v>-3146</v>
      </c>
      <c r="G254" t="s">
        <v>19</v>
      </c>
      <c r="H254" t="s">
        <v>16</v>
      </c>
      <c r="I254" t="s">
        <v>12</v>
      </c>
    </row>
    <row r="255" spans="1:9" x14ac:dyDescent="0.3">
      <c r="A255" t="s">
        <v>9</v>
      </c>
      <c r="B255" s="1">
        <v>45968</v>
      </c>
      <c r="C255" t="s">
        <v>27</v>
      </c>
      <c r="D255">
        <v>7353</v>
      </c>
      <c r="E255">
        <v>0</v>
      </c>
      <c r="F255">
        <v>-7353</v>
      </c>
      <c r="G255" t="s">
        <v>27</v>
      </c>
      <c r="H255" t="s">
        <v>11</v>
      </c>
      <c r="I255" t="s">
        <v>12</v>
      </c>
    </row>
    <row r="256" spans="1:9" x14ac:dyDescent="0.3">
      <c r="A256" t="s">
        <v>4</v>
      </c>
      <c r="B256" s="1">
        <v>45969</v>
      </c>
      <c r="C256" t="s">
        <v>17</v>
      </c>
      <c r="D256">
        <v>7380</v>
      </c>
      <c r="E256">
        <v>0</v>
      </c>
      <c r="F256">
        <v>-7380</v>
      </c>
      <c r="G256" t="s">
        <v>17</v>
      </c>
      <c r="H256" t="s">
        <v>18</v>
      </c>
      <c r="I256" t="s">
        <v>12</v>
      </c>
    </row>
    <row r="257" spans="1:9" x14ac:dyDescent="0.3">
      <c r="A257" t="s">
        <v>9</v>
      </c>
      <c r="B257" s="1">
        <v>45969</v>
      </c>
      <c r="C257" t="s">
        <v>19</v>
      </c>
      <c r="D257">
        <v>5409</v>
      </c>
      <c r="E257">
        <v>0</v>
      </c>
      <c r="F257">
        <v>-5409</v>
      </c>
      <c r="G257" t="s">
        <v>19</v>
      </c>
      <c r="H257" t="s">
        <v>16</v>
      </c>
      <c r="I257" t="s">
        <v>12</v>
      </c>
    </row>
    <row r="258" spans="1:9" x14ac:dyDescent="0.3">
      <c r="A258" t="s">
        <v>4</v>
      </c>
      <c r="B258" s="1">
        <v>45969</v>
      </c>
      <c r="C258" t="s">
        <v>10</v>
      </c>
      <c r="D258">
        <v>5491</v>
      </c>
      <c r="E258">
        <v>0</v>
      </c>
      <c r="F258">
        <v>-5491</v>
      </c>
      <c r="G258" t="s">
        <v>10</v>
      </c>
      <c r="H258" t="s">
        <v>11</v>
      </c>
      <c r="I258" t="s">
        <v>12</v>
      </c>
    </row>
    <row r="259" spans="1:9" x14ac:dyDescent="0.3">
      <c r="A259" t="s">
        <v>4</v>
      </c>
      <c r="B259" s="1">
        <v>45970</v>
      </c>
      <c r="C259" t="s">
        <v>27</v>
      </c>
      <c r="D259">
        <v>4714</v>
      </c>
      <c r="E259">
        <v>0</v>
      </c>
      <c r="F259">
        <v>-4714</v>
      </c>
      <c r="G259" t="s">
        <v>27</v>
      </c>
      <c r="H259" t="s">
        <v>11</v>
      </c>
      <c r="I259" t="s">
        <v>12</v>
      </c>
    </row>
    <row r="260" spans="1:9" x14ac:dyDescent="0.3">
      <c r="A260" t="s">
        <v>9</v>
      </c>
      <c r="B260" s="1">
        <v>45971</v>
      </c>
      <c r="C260" t="s">
        <v>24</v>
      </c>
      <c r="D260">
        <v>0</v>
      </c>
      <c r="E260">
        <v>8423</v>
      </c>
      <c r="F260">
        <v>8423</v>
      </c>
      <c r="G260" t="s">
        <v>24</v>
      </c>
      <c r="H260" t="s">
        <v>23</v>
      </c>
      <c r="I260" t="s">
        <v>23</v>
      </c>
    </row>
    <row r="261" spans="1:9" x14ac:dyDescent="0.3">
      <c r="A261" t="s">
        <v>9</v>
      </c>
      <c r="B261" s="1">
        <v>45971</v>
      </c>
      <c r="C261" t="s">
        <v>13</v>
      </c>
      <c r="D261">
        <v>5712</v>
      </c>
      <c r="E261">
        <v>0</v>
      </c>
      <c r="F261">
        <v>-5712</v>
      </c>
      <c r="G261" t="s">
        <v>13</v>
      </c>
      <c r="H261" t="s">
        <v>14</v>
      </c>
      <c r="I261" t="s">
        <v>12</v>
      </c>
    </row>
    <row r="262" spans="1:9" x14ac:dyDescent="0.3">
      <c r="A262" t="s">
        <v>9</v>
      </c>
      <c r="B262" s="1">
        <v>45972</v>
      </c>
      <c r="C262" t="s">
        <v>15</v>
      </c>
      <c r="D262">
        <v>3768</v>
      </c>
      <c r="E262">
        <v>0</v>
      </c>
      <c r="F262">
        <v>-3768</v>
      </c>
      <c r="G262" t="s">
        <v>15</v>
      </c>
      <c r="H262" t="s">
        <v>16</v>
      </c>
      <c r="I262" t="s">
        <v>12</v>
      </c>
    </row>
    <row r="263" spans="1:9" x14ac:dyDescent="0.3">
      <c r="A263" t="s">
        <v>9</v>
      </c>
      <c r="B263" s="1">
        <v>45972</v>
      </c>
      <c r="C263" t="s">
        <v>27</v>
      </c>
      <c r="D263">
        <v>4544</v>
      </c>
      <c r="E263">
        <v>0</v>
      </c>
      <c r="F263">
        <v>-4544</v>
      </c>
      <c r="G263" t="s">
        <v>27</v>
      </c>
      <c r="H263" t="s">
        <v>11</v>
      </c>
      <c r="I263" t="s">
        <v>12</v>
      </c>
    </row>
    <row r="264" spans="1:9" x14ac:dyDescent="0.3">
      <c r="A264" t="s">
        <v>9</v>
      </c>
      <c r="B264" s="1">
        <v>45973</v>
      </c>
      <c r="C264" t="s">
        <v>20</v>
      </c>
      <c r="D264">
        <v>4144</v>
      </c>
      <c r="E264">
        <v>0</v>
      </c>
      <c r="F264">
        <v>-4144</v>
      </c>
      <c r="G264" t="s">
        <v>20</v>
      </c>
      <c r="H264" t="s">
        <v>21</v>
      </c>
      <c r="I264" t="s">
        <v>12</v>
      </c>
    </row>
    <row r="265" spans="1:9" x14ac:dyDescent="0.3">
      <c r="A265" t="s">
        <v>4</v>
      </c>
      <c r="B265" s="1">
        <v>45973</v>
      </c>
      <c r="C265" t="s">
        <v>22</v>
      </c>
      <c r="D265">
        <v>0</v>
      </c>
      <c r="E265">
        <v>23395</v>
      </c>
      <c r="F265">
        <v>23395</v>
      </c>
      <c r="G265" t="s">
        <v>22</v>
      </c>
      <c r="H265" t="s">
        <v>23</v>
      </c>
      <c r="I265" t="s">
        <v>23</v>
      </c>
    </row>
    <row r="266" spans="1:9" x14ac:dyDescent="0.3">
      <c r="A266" t="s">
        <v>9</v>
      </c>
      <c r="B266" s="1">
        <v>45973</v>
      </c>
      <c r="C266" t="s">
        <v>19</v>
      </c>
      <c r="D266">
        <v>7557</v>
      </c>
      <c r="E266">
        <v>0</v>
      </c>
      <c r="F266">
        <v>-7557</v>
      </c>
      <c r="G266" t="s">
        <v>19</v>
      </c>
      <c r="H266" t="s">
        <v>16</v>
      </c>
      <c r="I266" t="s">
        <v>12</v>
      </c>
    </row>
    <row r="267" spans="1:9" x14ac:dyDescent="0.3">
      <c r="A267" t="s">
        <v>9</v>
      </c>
      <c r="B267" s="1">
        <v>45974</v>
      </c>
      <c r="C267" t="s">
        <v>22</v>
      </c>
      <c r="D267">
        <v>0</v>
      </c>
      <c r="E267">
        <v>36845</v>
      </c>
      <c r="F267">
        <v>36845</v>
      </c>
      <c r="G267" t="s">
        <v>22</v>
      </c>
      <c r="H267" t="s">
        <v>23</v>
      </c>
      <c r="I267" t="s">
        <v>23</v>
      </c>
    </row>
    <row r="268" spans="1:9" x14ac:dyDescent="0.3">
      <c r="A268" t="s">
        <v>9</v>
      </c>
      <c r="B268" s="1">
        <v>45974</v>
      </c>
      <c r="C268" t="s">
        <v>26</v>
      </c>
      <c r="D268">
        <v>2892</v>
      </c>
      <c r="E268">
        <v>0</v>
      </c>
      <c r="F268">
        <v>-2892</v>
      </c>
      <c r="G268" t="s">
        <v>26</v>
      </c>
      <c r="H268" t="s">
        <v>18</v>
      </c>
      <c r="I268" t="s">
        <v>12</v>
      </c>
    </row>
    <row r="269" spans="1:9" x14ac:dyDescent="0.3">
      <c r="A269" t="s">
        <v>4</v>
      </c>
      <c r="B269" s="1">
        <v>45975</v>
      </c>
      <c r="C269" t="s">
        <v>13</v>
      </c>
      <c r="D269">
        <v>1638</v>
      </c>
      <c r="E269">
        <v>0</v>
      </c>
      <c r="F269">
        <v>-1638</v>
      </c>
      <c r="G269" t="s">
        <v>13</v>
      </c>
      <c r="H269" t="s">
        <v>14</v>
      </c>
      <c r="I269" t="s">
        <v>12</v>
      </c>
    </row>
    <row r="270" spans="1:9" x14ac:dyDescent="0.3">
      <c r="A270" t="s">
        <v>4</v>
      </c>
      <c r="B270" s="1">
        <v>45975</v>
      </c>
      <c r="C270" t="s">
        <v>20</v>
      </c>
      <c r="D270">
        <v>5893</v>
      </c>
      <c r="E270">
        <v>0</v>
      </c>
      <c r="F270">
        <v>-5893</v>
      </c>
      <c r="G270" t="s">
        <v>20</v>
      </c>
      <c r="H270" t="s">
        <v>21</v>
      </c>
      <c r="I270" t="s">
        <v>12</v>
      </c>
    </row>
    <row r="271" spans="1:9" x14ac:dyDescent="0.3">
      <c r="A271" t="s">
        <v>9</v>
      </c>
      <c r="B271" s="1">
        <v>45975</v>
      </c>
      <c r="C271" t="s">
        <v>27</v>
      </c>
      <c r="D271">
        <v>5141</v>
      </c>
      <c r="E271">
        <v>0</v>
      </c>
      <c r="F271">
        <v>-5141</v>
      </c>
      <c r="G271" t="s">
        <v>27</v>
      </c>
      <c r="H271" t="s">
        <v>11</v>
      </c>
      <c r="I271" t="s">
        <v>12</v>
      </c>
    </row>
    <row r="272" spans="1:9" x14ac:dyDescent="0.3">
      <c r="A272" t="s">
        <v>4</v>
      </c>
      <c r="B272" s="1">
        <v>45976</v>
      </c>
      <c r="C272" t="s">
        <v>26</v>
      </c>
      <c r="D272">
        <v>3285</v>
      </c>
      <c r="E272">
        <v>0</v>
      </c>
      <c r="F272">
        <v>-3285</v>
      </c>
      <c r="G272" t="s">
        <v>26</v>
      </c>
      <c r="H272" t="s">
        <v>18</v>
      </c>
      <c r="I272" t="s">
        <v>12</v>
      </c>
    </row>
    <row r="273" spans="1:9" x14ac:dyDescent="0.3">
      <c r="A273" t="s">
        <v>4</v>
      </c>
      <c r="B273" s="1">
        <v>45977</v>
      </c>
      <c r="C273" t="s">
        <v>25</v>
      </c>
      <c r="D273">
        <v>0</v>
      </c>
      <c r="E273">
        <v>35200</v>
      </c>
      <c r="F273">
        <v>35200</v>
      </c>
      <c r="G273" t="s">
        <v>25</v>
      </c>
      <c r="H273" t="s">
        <v>23</v>
      </c>
      <c r="I273" t="s">
        <v>23</v>
      </c>
    </row>
    <row r="274" spans="1:9" x14ac:dyDescent="0.3">
      <c r="A274" t="s">
        <v>4</v>
      </c>
      <c r="B274" s="1">
        <v>45978</v>
      </c>
      <c r="C274" t="s">
        <v>13</v>
      </c>
      <c r="D274">
        <v>3349</v>
      </c>
      <c r="E274">
        <v>0</v>
      </c>
      <c r="F274">
        <v>-3349</v>
      </c>
      <c r="G274" t="s">
        <v>13</v>
      </c>
      <c r="H274" t="s">
        <v>14</v>
      </c>
      <c r="I274" t="s">
        <v>12</v>
      </c>
    </row>
    <row r="275" spans="1:9" x14ac:dyDescent="0.3">
      <c r="A275" t="s">
        <v>9</v>
      </c>
      <c r="B275" s="1">
        <v>45979</v>
      </c>
      <c r="C275" t="s">
        <v>10</v>
      </c>
      <c r="D275">
        <v>3299</v>
      </c>
      <c r="E275">
        <v>0</v>
      </c>
      <c r="F275">
        <v>-3299</v>
      </c>
      <c r="G275" t="s">
        <v>10</v>
      </c>
      <c r="H275" t="s">
        <v>11</v>
      </c>
      <c r="I275" t="s">
        <v>12</v>
      </c>
    </row>
    <row r="276" spans="1:9" x14ac:dyDescent="0.3">
      <c r="A276" t="s">
        <v>9</v>
      </c>
      <c r="B276" s="1">
        <v>45979</v>
      </c>
      <c r="C276" t="s">
        <v>17</v>
      </c>
      <c r="D276">
        <v>6673</v>
      </c>
      <c r="E276">
        <v>0</v>
      </c>
      <c r="F276">
        <v>-6673</v>
      </c>
      <c r="G276" t="s">
        <v>17</v>
      </c>
      <c r="H276" t="s">
        <v>18</v>
      </c>
      <c r="I276" t="s">
        <v>12</v>
      </c>
    </row>
    <row r="277" spans="1:9" x14ac:dyDescent="0.3">
      <c r="A277" t="s">
        <v>4</v>
      </c>
      <c r="B277" s="1">
        <v>45979</v>
      </c>
      <c r="C277" t="s">
        <v>20</v>
      </c>
      <c r="D277">
        <v>5117</v>
      </c>
      <c r="E277">
        <v>0</v>
      </c>
      <c r="F277">
        <v>-5117</v>
      </c>
      <c r="G277" t="s">
        <v>20</v>
      </c>
      <c r="H277" t="s">
        <v>21</v>
      </c>
      <c r="I277" t="s">
        <v>12</v>
      </c>
    </row>
    <row r="278" spans="1:9" x14ac:dyDescent="0.3">
      <c r="A278" t="s">
        <v>9</v>
      </c>
      <c r="B278" s="1">
        <v>45980</v>
      </c>
      <c r="C278" t="s">
        <v>17</v>
      </c>
      <c r="D278">
        <v>3380</v>
      </c>
      <c r="E278">
        <v>0</v>
      </c>
      <c r="F278">
        <v>-3380</v>
      </c>
      <c r="G278" t="s">
        <v>17</v>
      </c>
      <c r="H278" t="s">
        <v>18</v>
      </c>
      <c r="I278" t="s">
        <v>12</v>
      </c>
    </row>
    <row r="279" spans="1:9" x14ac:dyDescent="0.3">
      <c r="A279" t="s">
        <v>9</v>
      </c>
      <c r="B279" s="1">
        <v>45981</v>
      </c>
      <c r="C279" t="s">
        <v>27</v>
      </c>
      <c r="D279">
        <v>5815</v>
      </c>
      <c r="E279">
        <v>0</v>
      </c>
      <c r="F279">
        <v>-5815</v>
      </c>
      <c r="G279" t="s">
        <v>27</v>
      </c>
      <c r="H279" t="s">
        <v>11</v>
      </c>
      <c r="I279" t="s">
        <v>12</v>
      </c>
    </row>
    <row r="280" spans="1:9" x14ac:dyDescent="0.3">
      <c r="A280" t="s">
        <v>9</v>
      </c>
      <c r="B280" s="1">
        <v>45981</v>
      </c>
      <c r="C280" t="s">
        <v>17</v>
      </c>
      <c r="D280">
        <v>1895</v>
      </c>
      <c r="E280">
        <v>0</v>
      </c>
      <c r="F280">
        <v>-1895</v>
      </c>
      <c r="G280" t="s">
        <v>17</v>
      </c>
      <c r="H280" t="s">
        <v>18</v>
      </c>
      <c r="I280" t="s">
        <v>12</v>
      </c>
    </row>
    <row r="281" spans="1:9" x14ac:dyDescent="0.3">
      <c r="A281" t="s">
        <v>4</v>
      </c>
      <c r="B281" s="1">
        <v>45982</v>
      </c>
      <c r="C281" t="s">
        <v>26</v>
      </c>
      <c r="D281">
        <v>5232</v>
      </c>
      <c r="E281">
        <v>0</v>
      </c>
      <c r="F281">
        <v>-5232</v>
      </c>
      <c r="G281" t="s">
        <v>26</v>
      </c>
      <c r="H281" t="s">
        <v>18</v>
      </c>
      <c r="I281" t="s">
        <v>12</v>
      </c>
    </row>
    <row r="282" spans="1:9" x14ac:dyDescent="0.3">
      <c r="A282" t="s">
        <v>9</v>
      </c>
      <c r="B282" s="1">
        <v>45982</v>
      </c>
      <c r="C282" t="s">
        <v>10</v>
      </c>
      <c r="D282">
        <v>832</v>
      </c>
      <c r="E282">
        <v>0</v>
      </c>
      <c r="F282">
        <v>-832</v>
      </c>
      <c r="G282" t="s">
        <v>10</v>
      </c>
      <c r="H282" t="s">
        <v>11</v>
      </c>
      <c r="I282" t="s">
        <v>12</v>
      </c>
    </row>
    <row r="283" spans="1:9" x14ac:dyDescent="0.3">
      <c r="A283" t="s">
        <v>9</v>
      </c>
      <c r="B283" s="1">
        <v>45983</v>
      </c>
      <c r="C283" t="s">
        <v>13</v>
      </c>
      <c r="D283">
        <v>3530</v>
      </c>
      <c r="E283">
        <v>0</v>
      </c>
      <c r="F283">
        <v>-3530</v>
      </c>
      <c r="G283" t="s">
        <v>13</v>
      </c>
      <c r="H283" t="s">
        <v>14</v>
      </c>
      <c r="I283" t="s">
        <v>12</v>
      </c>
    </row>
    <row r="284" spans="1:9" x14ac:dyDescent="0.3">
      <c r="A284" t="s">
        <v>9</v>
      </c>
      <c r="B284" s="1">
        <v>45983</v>
      </c>
      <c r="C284" t="s">
        <v>13</v>
      </c>
      <c r="D284">
        <v>5818</v>
      </c>
      <c r="E284">
        <v>0</v>
      </c>
      <c r="F284">
        <v>-5818</v>
      </c>
      <c r="G284" t="s">
        <v>13</v>
      </c>
      <c r="H284" t="s">
        <v>14</v>
      </c>
      <c r="I284" t="s">
        <v>12</v>
      </c>
    </row>
    <row r="285" spans="1:9" x14ac:dyDescent="0.3">
      <c r="A285" t="s">
        <v>9</v>
      </c>
      <c r="B285" s="1">
        <v>45983</v>
      </c>
      <c r="C285" t="s">
        <v>27</v>
      </c>
      <c r="D285">
        <v>6594</v>
      </c>
      <c r="E285">
        <v>0</v>
      </c>
      <c r="F285">
        <v>-6594</v>
      </c>
      <c r="G285" t="s">
        <v>27</v>
      </c>
      <c r="H285" t="s">
        <v>11</v>
      </c>
      <c r="I285" t="s">
        <v>12</v>
      </c>
    </row>
    <row r="286" spans="1:9" x14ac:dyDescent="0.3">
      <c r="A286" t="s">
        <v>9</v>
      </c>
      <c r="B286" s="1">
        <v>45984</v>
      </c>
      <c r="C286" t="s">
        <v>17</v>
      </c>
      <c r="D286">
        <v>4834</v>
      </c>
      <c r="E286">
        <v>0</v>
      </c>
      <c r="F286">
        <v>-4834</v>
      </c>
      <c r="G286" t="s">
        <v>17</v>
      </c>
      <c r="H286" t="s">
        <v>18</v>
      </c>
      <c r="I286" t="s">
        <v>12</v>
      </c>
    </row>
    <row r="287" spans="1:9" x14ac:dyDescent="0.3">
      <c r="A287" t="s">
        <v>4</v>
      </c>
      <c r="B287" s="1">
        <v>45984</v>
      </c>
      <c r="C287" t="s">
        <v>27</v>
      </c>
      <c r="D287">
        <v>6596</v>
      </c>
      <c r="E287">
        <v>0</v>
      </c>
      <c r="F287">
        <v>-6596</v>
      </c>
      <c r="G287" t="s">
        <v>27</v>
      </c>
      <c r="H287" t="s">
        <v>11</v>
      </c>
      <c r="I287" t="s">
        <v>12</v>
      </c>
    </row>
    <row r="288" spans="1:9" x14ac:dyDescent="0.3">
      <c r="A288" t="s">
        <v>9</v>
      </c>
      <c r="B288" s="1">
        <v>45985</v>
      </c>
      <c r="C288" t="s">
        <v>19</v>
      </c>
      <c r="D288">
        <v>1650</v>
      </c>
      <c r="E288">
        <v>0</v>
      </c>
      <c r="F288">
        <v>-1650</v>
      </c>
      <c r="G288" t="s">
        <v>19</v>
      </c>
      <c r="H288" t="s">
        <v>16</v>
      </c>
      <c r="I288" t="s">
        <v>12</v>
      </c>
    </row>
    <row r="289" spans="1:9" x14ac:dyDescent="0.3">
      <c r="A289" t="s">
        <v>4</v>
      </c>
      <c r="B289" s="1">
        <v>45986</v>
      </c>
      <c r="C289" t="s">
        <v>26</v>
      </c>
      <c r="D289">
        <v>6072</v>
      </c>
      <c r="E289">
        <v>0</v>
      </c>
      <c r="F289">
        <v>-6072</v>
      </c>
      <c r="G289" t="s">
        <v>26</v>
      </c>
      <c r="H289" t="s">
        <v>18</v>
      </c>
      <c r="I289" t="s">
        <v>12</v>
      </c>
    </row>
    <row r="290" spans="1:9" x14ac:dyDescent="0.3">
      <c r="A290" t="s">
        <v>4</v>
      </c>
      <c r="B290" s="1">
        <v>45986</v>
      </c>
      <c r="C290" t="s">
        <v>15</v>
      </c>
      <c r="D290">
        <v>2700</v>
      </c>
      <c r="E290">
        <v>0</v>
      </c>
      <c r="F290">
        <v>-2700</v>
      </c>
      <c r="G290" t="s">
        <v>15</v>
      </c>
      <c r="H290" t="s">
        <v>16</v>
      </c>
      <c r="I290" t="s">
        <v>12</v>
      </c>
    </row>
    <row r="291" spans="1:9" x14ac:dyDescent="0.3">
      <c r="A291" t="s">
        <v>9</v>
      </c>
      <c r="B291" s="1">
        <v>45987</v>
      </c>
      <c r="C291" t="s">
        <v>15</v>
      </c>
      <c r="D291">
        <v>2021</v>
      </c>
      <c r="E291">
        <v>0</v>
      </c>
      <c r="F291">
        <v>-2021</v>
      </c>
      <c r="G291" t="s">
        <v>15</v>
      </c>
      <c r="H291" t="s">
        <v>16</v>
      </c>
      <c r="I291" t="s">
        <v>12</v>
      </c>
    </row>
    <row r="292" spans="1:9" x14ac:dyDescent="0.3">
      <c r="A292" t="s">
        <v>9</v>
      </c>
      <c r="B292" s="1">
        <v>45988</v>
      </c>
      <c r="C292" t="s">
        <v>19</v>
      </c>
      <c r="D292">
        <v>7563</v>
      </c>
      <c r="E292">
        <v>0</v>
      </c>
      <c r="F292">
        <v>-7563</v>
      </c>
      <c r="G292" t="s">
        <v>19</v>
      </c>
      <c r="H292" t="s">
        <v>16</v>
      </c>
      <c r="I292" t="s">
        <v>12</v>
      </c>
    </row>
    <row r="293" spans="1:9" x14ac:dyDescent="0.3">
      <c r="A293" t="s">
        <v>4</v>
      </c>
      <c r="B293" s="1">
        <v>45988</v>
      </c>
      <c r="C293" t="s">
        <v>26</v>
      </c>
      <c r="D293">
        <v>2577</v>
      </c>
      <c r="E293">
        <v>0</v>
      </c>
      <c r="F293">
        <v>-2577</v>
      </c>
      <c r="G293" t="s">
        <v>26</v>
      </c>
      <c r="H293" t="s">
        <v>18</v>
      </c>
      <c r="I293" t="s">
        <v>12</v>
      </c>
    </row>
    <row r="294" spans="1:9" x14ac:dyDescent="0.3">
      <c r="A294" t="s">
        <v>4</v>
      </c>
      <c r="B294" s="1">
        <v>45989</v>
      </c>
      <c r="C294" t="s">
        <v>15</v>
      </c>
      <c r="D294">
        <v>6036</v>
      </c>
      <c r="E294">
        <v>0</v>
      </c>
      <c r="F294">
        <v>-6036</v>
      </c>
      <c r="G294" t="s">
        <v>15</v>
      </c>
      <c r="H294" t="s">
        <v>16</v>
      </c>
      <c r="I294" t="s">
        <v>12</v>
      </c>
    </row>
    <row r="295" spans="1:9" x14ac:dyDescent="0.3">
      <c r="A295" t="s">
        <v>9</v>
      </c>
      <c r="B295" s="1">
        <v>45989</v>
      </c>
      <c r="C295" t="s">
        <v>17</v>
      </c>
      <c r="D295">
        <v>2754</v>
      </c>
      <c r="E295">
        <v>0</v>
      </c>
      <c r="F295">
        <v>-2754</v>
      </c>
      <c r="G295" t="s">
        <v>17</v>
      </c>
      <c r="H295" t="s">
        <v>18</v>
      </c>
      <c r="I295" t="s">
        <v>12</v>
      </c>
    </row>
    <row r="296" spans="1:9" x14ac:dyDescent="0.3">
      <c r="A296" t="s">
        <v>4</v>
      </c>
      <c r="B296" s="1">
        <v>45989</v>
      </c>
      <c r="C296" t="s">
        <v>15</v>
      </c>
      <c r="D296">
        <v>7376</v>
      </c>
      <c r="E296">
        <v>0</v>
      </c>
      <c r="F296">
        <v>-7376</v>
      </c>
      <c r="G296" t="s">
        <v>15</v>
      </c>
      <c r="H296" t="s">
        <v>16</v>
      </c>
      <c r="I296" t="s">
        <v>12</v>
      </c>
    </row>
    <row r="297" spans="1:9" x14ac:dyDescent="0.3">
      <c r="A297" t="s">
        <v>4</v>
      </c>
      <c r="B297" s="1">
        <v>45990</v>
      </c>
      <c r="C297" t="s">
        <v>25</v>
      </c>
      <c r="D297">
        <v>0</v>
      </c>
      <c r="E297">
        <v>16013</v>
      </c>
      <c r="F297">
        <v>16013</v>
      </c>
      <c r="G297" t="s">
        <v>25</v>
      </c>
      <c r="H297" t="s">
        <v>23</v>
      </c>
      <c r="I297" t="s">
        <v>23</v>
      </c>
    </row>
    <row r="298" spans="1:9" x14ac:dyDescent="0.3">
      <c r="A298" t="s">
        <v>4</v>
      </c>
      <c r="B298" s="1">
        <v>45990</v>
      </c>
      <c r="C298" t="s">
        <v>17</v>
      </c>
      <c r="D298">
        <v>7294</v>
      </c>
      <c r="E298">
        <v>0</v>
      </c>
      <c r="F298">
        <v>-7294</v>
      </c>
      <c r="G298" t="s">
        <v>17</v>
      </c>
      <c r="H298" t="s">
        <v>18</v>
      </c>
      <c r="I298" t="s">
        <v>12</v>
      </c>
    </row>
    <row r="299" spans="1:9" x14ac:dyDescent="0.3">
      <c r="A299" t="s">
        <v>9</v>
      </c>
      <c r="B299" s="1">
        <v>45991</v>
      </c>
      <c r="C299" t="s">
        <v>19</v>
      </c>
      <c r="D299">
        <v>3047</v>
      </c>
      <c r="E299">
        <v>0</v>
      </c>
      <c r="F299">
        <v>-3047</v>
      </c>
      <c r="G299" t="s">
        <v>19</v>
      </c>
      <c r="H299" t="s">
        <v>16</v>
      </c>
      <c r="I299" t="s">
        <v>12</v>
      </c>
    </row>
    <row r="300" spans="1:9" x14ac:dyDescent="0.3">
      <c r="A300" t="s">
        <v>4</v>
      </c>
      <c r="B300" s="1">
        <v>45992</v>
      </c>
      <c r="C300" t="s">
        <v>25</v>
      </c>
      <c r="D300">
        <v>0</v>
      </c>
      <c r="E300">
        <v>15444</v>
      </c>
      <c r="F300">
        <v>15444</v>
      </c>
      <c r="G300" t="s">
        <v>25</v>
      </c>
      <c r="H300" t="s">
        <v>23</v>
      </c>
      <c r="I300" t="s">
        <v>23</v>
      </c>
    </row>
    <row r="301" spans="1:9" x14ac:dyDescent="0.3">
      <c r="A301" t="s">
        <v>9</v>
      </c>
      <c r="B301" s="1">
        <v>45992</v>
      </c>
      <c r="C301" t="s">
        <v>27</v>
      </c>
      <c r="D301">
        <v>6191</v>
      </c>
      <c r="E301">
        <v>0</v>
      </c>
      <c r="F301">
        <v>-6191</v>
      </c>
      <c r="G301" t="s">
        <v>27</v>
      </c>
      <c r="H301" t="s">
        <v>11</v>
      </c>
      <c r="I301" t="s">
        <v>12</v>
      </c>
    </row>
    <row r="302" spans="1:9" x14ac:dyDescent="0.3">
      <c r="A302" t="s">
        <v>4</v>
      </c>
      <c r="B302" s="1">
        <v>45993</v>
      </c>
      <c r="C302" t="s">
        <v>13</v>
      </c>
      <c r="D302">
        <v>4369</v>
      </c>
      <c r="E302">
        <v>0</v>
      </c>
      <c r="F302">
        <v>-4369</v>
      </c>
      <c r="G302" t="s">
        <v>13</v>
      </c>
      <c r="H302" t="s">
        <v>14</v>
      </c>
      <c r="I302" t="s">
        <v>12</v>
      </c>
    </row>
    <row r="303" spans="1:9" x14ac:dyDescent="0.3">
      <c r="A303" t="s">
        <v>4</v>
      </c>
      <c r="B303" s="1">
        <v>45994</v>
      </c>
      <c r="C303" t="s">
        <v>24</v>
      </c>
      <c r="D303">
        <v>0</v>
      </c>
      <c r="E303">
        <v>42948</v>
      </c>
      <c r="F303">
        <v>42948</v>
      </c>
      <c r="G303" t="s">
        <v>24</v>
      </c>
      <c r="H303" t="s">
        <v>23</v>
      </c>
      <c r="I303" t="s">
        <v>23</v>
      </c>
    </row>
    <row r="304" spans="1:9" x14ac:dyDescent="0.3">
      <c r="A304" t="s">
        <v>9</v>
      </c>
      <c r="B304" s="1">
        <v>45995</v>
      </c>
      <c r="C304" t="s">
        <v>22</v>
      </c>
      <c r="D304">
        <v>0</v>
      </c>
      <c r="E304">
        <v>10907</v>
      </c>
      <c r="F304">
        <v>10907</v>
      </c>
      <c r="G304" t="s">
        <v>22</v>
      </c>
      <c r="H304" t="s">
        <v>23</v>
      </c>
      <c r="I304" t="s">
        <v>23</v>
      </c>
    </row>
    <row r="305" spans="1:9" x14ac:dyDescent="0.3">
      <c r="A305" t="s">
        <v>4</v>
      </c>
      <c r="B305" s="1">
        <v>45995</v>
      </c>
      <c r="C305" t="s">
        <v>20</v>
      </c>
      <c r="D305">
        <v>5484</v>
      </c>
      <c r="E305">
        <v>0</v>
      </c>
      <c r="F305">
        <v>-5484</v>
      </c>
      <c r="G305" t="s">
        <v>20</v>
      </c>
      <c r="H305" t="s">
        <v>21</v>
      </c>
      <c r="I305" t="s">
        <v>12</v>
      </c>
    </row>
    <row r="306" spans="1:9" x14ac:dyDescent="0.3">
      <c r="A306" t="s">
        <v>9</v>
      </c>
      <c r="B306" s="1">
        <v>45996</v>
      </c>
      <c r="C306" t="s">
        <v>10</v>
      </c>
      <c r="D306">
        <v>3187</v>
      </c>
      <c r="E306">
        <v>0</v>
      </c>
      <c r="F306">
        <v>-3187</v>
      </c>
      <c r="G306" t="s">
        <v>10</v>
      </c>
      <c r="H306" t="s">
        <v>11</v>
      </c>
      <c r="I306" t="s">
        <v>12</v>
      </c>
    </row>
    <row r="307" spans="1:9" x14ac:dyDescent="0.3">
      <c r="A307" t="s">
        <v>4</v>
      </c>
      <c r="B307" s="1">
        <v>45997</v>
      </c>
      <c r="C307" t="s">
        <v>20</v>
      </c>
      <c r="D307">
        <v>1674</v>
      </c>
      <c r="E307">
        <v>0</v>
      </c>
      <c r="F307">
        <v>-1674</v>
      </c>
      <c r="G307" t="s">
        <v>20</v>
      </c>
      <c r="H307" t="s">
        <v>21</v>
      </c>
      <c r="I307" t="s">
        <v>12</v>
      </c>
    </row>
    <row r="308" spans="1:9" x14ac:dyDescent="0.3">
      <c r="A308" t="s">
        <v>9</v>
      </c>
      <c r="B308" s="1">
        <v>45997</v>
      </c>
      <c r="C308" t="s">
        <v>19</v>
      </c>
      <c r="D308">
        <v>1676</v>
      </c>
      <c r="E308">
        <v>0</v>
      </c>
      <c r="F308">
        <v>-1676</v>
      </c>
      <c r="G308" t="s">
        <v>19</v>
      </c>
      <c r="H308" t="s">
        <v>16</v>
      </c>
      <c r="I308" t="s">
        <v>12</v>
      </c>
    </row>
    <row r="309" spans="1:9" x14ac:dyDescent="0.3">
      <c r="A309" t="s">
        <v>9</v>
      </c>
      <c r="B309" s="1">
        <v>45998</v>
      </c>
      <c r="C309" t="s">
        <v>15</v>
      </c>
      <c r="D309">
        <v>5175</v>
      </c>
      <c r="E309">
        <v>0</v>
      </c>
      <c r="F309">
        <v>-5175</v>
      </c>
      <c r="G309" t="s">
        <v>15</v>
      </c>
      <c r="H309" t="s">
        <v>16</v>
      </c>
      <c r="I309" t="s">
        <v>12</v>
      </c>
    </row>
    <row r="310" spans="1:9" x14ac:dyDescent="0.3">
      <c r="A310" t="s">
        <v>4</v>
      </c>
      <c r="B310" s="1">
        <v>45998</v>
      </c>
      <c r="C310" t="s">
        <v>19</v>
      </c>
      <c r="D310">
        <v>1795</v>
      </c>
      <c r="E310">
        <v>0</v>
      </c>
      <c r="F310">
        <v>-1795</v>
      </c>
      <c r="G310" t="s">
        <v>19</v>
      </c>
      <c r="H310" t="s">
        <v>16</v>
      </c>
      <c r="I310" t="s">
        <v>12</v>
      </c>
    </row>
    <row r="311" spans="1:9" x14ac:dyDescent="0.3">
      <c r="A311" t="s">
        <v>4</v>
      </c>
      <c r="B311" s="1">
        <v>45998</v>
      </c>
      <c r="C311" t="s">
        <v>13</v>
      </c>
      <c r="D311">
        <v>5557</v>
      </c>
      <c r="E311">
        <v>0</v>
      </c>
      <c r="F311">
        <v>-5557</v>
      </c>
      <c r="G311" t="s">
        <v>13</v>
      </c>
      <c r="H311" t="s">
        <v>14</v>
      </c>
      <c r="I311" t="s">
        <v>12</v>
      </c>
    </row>
    <row r="312" spans="1:9" x14ac:dyDescent="0.3">
      <c r="A312" t="s">
        <v>9</v>
      </c>
      <c r="B312" s="1">
        <v>45999</v>
      </c>
      <c r="C312" t="s">
        <v>25</v>
      </c>
      <c r="D312">
        <v>0</v>
      </c>
      <c r="E312">
        <v>35150</v>
      </c>
      <c r="F312">
        <v>35150</v>
      </c>
      <c r="G312" t="s">
        <v>25</v>
      </c>
      <c r="H312" t="s">
        <v>23</v>
      </c>
      <c r="I312" t="s">
        <v>23</v>
      </c>
    </row>
    <row r="313" spans="1:9" x14ac:dyDescent="0.3">
      <c r="A313" t="s">
        <v>4</v>
      </c>
      <c r="B313" s="1">
        <v>46000</v>
      </c>
      <c r="C313" t="s">
        <v>26</v>
      </c>
      <c r="D313">
        <v>7746</v>
      </c>
      <c r="E313">
        <v>0</v>
      </c>
      <c r="F313">
        <v>-7746</v>
      </c>
      <c r="G313" t="s">
        <v>26</v>
      </c>
      <c r="H313" t="s">
        <v>18</v>
      </c>
      <c r="I313" t="s">
        <v>12</v>
      </c>
    </row>
    <row r="314" spans="1:9" x14ac:dyDescent="0.3">
      <c r="A314" t="s">
        <v>4</v>
      </c>
      <c r="B314" s="1">
        <v>46001</v>
      </c>
      <c r="C314" t="s">
        <v>26</v>
      </c>
      <c r="D314">
        <v>2402</v>
      </c>
      <c r="E314">
        <v>0</v>
      </c>
      <c r="F314">
        <v>-2402</v>
      </c>
      <c r="G314" t="s">
        <v>26</v>
      </c>
      <c r="H314" t="s">
        <v>18</v>
      </c>
      <c r="I314" t="s">
        <v>12</v>
      </c>
    </row>
    <row r="315" spans="1:9" x14ac:dyDescent="0.3">
      <c r="A315" t="s">
        <v>9</v>
      </c>
      <c r="B315" s="1">
        <v>46001</v>
      </c>
      <c r="C315" t="s">
        <v>26</v>
      </c>
      <c r="D315">
        <v>2098</v>
      </c>
      <c r="E315">
        <v>0</v>
      </c>
      <c r="F315">
        <v>-2098</v>
      </c>
      <c r="G315" t="s">
        <v>26</v>
      </c>
      <c r="H315" t="s">
        <v>18</v>
      </c>
      <c r="I315" t="s">
        <v>12</v>
      </c>
    </row>
    <row r="316" spans="1:9" x14ac:dyDescent="0.3">
      <c r="A316" t="s">
        <v>4</v>
      </c>
      <c r="B316" s="1">
        <v>46001</v>
      </c>
      <c r="C316" t="s">
        <v>25</v>
      </c>
      <c r="D316">
        <v>0</v>
      </c>
      <c r="E316">
        <v>36502</v>
      </c>
      <c r="F316">
        <v>36502</v>
      </c>
      <c r="G316" t="s">
        <v>25</v>
      </c>
      <c r="H316" t="s">
        <v>23</v>
      </c>
      <c r="I316" t="s">
        <v>23</v>
      </c>
    </row>
    <row r="317" spans="1:9" x14ac:dyDescent="0.3">
      <c r="A317" t="s">
        <v>4</v>
      </c>
      <c r="B317" s="1">
        <v>46002</v>
      </c>
      <c r="C317" t="s">
        <v>26</v>
      </c>
      <c r="D317">
        <v>7068</v>
      </c>
      <c r="E317">
        <v>0</v>
      </c>
      <c r="F317">
        <v>-7068</v>
      </c>
      <c r="G317" t="s">
        <v>26</v>
      </c>
      <c r="H317" t="s">
        <v>18</v>
      </c>
      <c r="I317" t="s">
        <v>12</v>
      </c>
    </row>
    <row r="318" spans="1:9" x14ac:dyDescent="0.3">
      <c r="A318" t="s">
        <v>4</v>
      </c>
      <c r="B318" s="1">
        <v>46002</v>
      </c>
      <c r="C318" t="s">
        <v>17</v>
      </c>
      <c r="D318">
        <v>3117</v>
      </c>
      <c r="E318">
        <v>0</v>
      </c>
      <c r="F318">
        <v>-3117</v>
      </c>
      <c r="G318" t="s">
        <v>17</v>
      </c>
      <c r="H318" t="s">
        <v>18</v>
      </c>
      <c r="I318" t="s">
        <v>12</v>
      </c>
    </row>
    <row r="319" spans="1:9" x14ac:dyDescent="0.3">
      <c r="A319" t="s">
        <v>4</v>
      </c>
      <c r="B319" s="1">
        <v>46002</v>
      </c>
      <c r="C319" t="s">
        <v>27</v>
      </c>
      <c r="D319">
        <v>3778</v>
      </c>
      <c r="E319">
        <v>0</v>
      </c>
      <c r="F319">
        <v>-3778</v>
      </c>
      <c r="G319" t="s">
        <v>27</v>
      </c>
      <c r="H319" t="s">
        <v>11</v>
      </c>
      <c r="I319" t="s">
        <v>12</v>
      </c>
    </row>
    <row r="320" spans="1:9" x14ac:dyDescent="0.3">
      <c r="A320" t="s">
        <v>9</v>
      </c>
      <c r="B320" s="1">
        <v>46003</v>
      </c>
      <c r="C320" t="s">
        <v>24</v>
      </c>
      <c r="D320">
        <v>0</v>
      </c>
      <c r="E320">
        <v>40201</v>
      </c>
      <c r="F320">
        <v>40201</v>
      </c>
      <c r="G320" t="s">
        <v>24</v>
      </c>
      <c r="H320" t="s">
        <v>23</v>
      </c>
      <c r="I320" t="s">
        <v>23</v>
      </c>
    </row>
    <row r="321" spans="1:9" x14ac:dyDescent="0.3">
      <c r="A321" t="s">
        <v>9</v>
      </c>
      <c r="B321" s="1">
        <v>46003</v>
      </c>
      <c r="C321" t="s">
        <v>13</v>
      </c>
      <c r="D321">
        <v>6750</v>
      </c>
      <c r="E321">
        <v>0</v>
      </c>
      <c r="F321">
        <v>-6750</v>
      </c>
      <c r="G321" t="s">
        <v>13</v>
      </c>
      <c r="H321" t="s">
        <v>14</v>
      </c>
      <c r="I321" t="s">
        <v>12</v>
      </c>
    </row>
    <row r="322" spans="1:9" x14ac:dyDescent="0.3">
      <c r="A322" t="s">
        <v>9</v>
      </c>
      <c r="B322" s="1">
        <v>46004</v>
      </c>
      <c r="C322" t="s">
        <v>25</v>
      </c>
      <c r="D322">
        <v>0</v>
      </c>
      <c r="E322">
        <v>22184</v>
      </c>
      <c r="F322">
        <v>22184</v>
      </c>
      <c r="G322" t="s">
        <v>25</v>
      </c>
      <c r="H322" t="s">
        <v>23</v>
      </c>
      <c r="I322" t="s">
        <v>23</v>
      </c>
    </row>
    <row r="323" spans="1:9" x14ac:dyDescent="0.3">
      <c r="A323" t="s">
        <v>4</v>
      </c>
      <c r="B323" s="1">
        <v>46005</v>
      </c>
      <c r="C323" t="s">
        <v>22</v>
      </c>
      <c r="D323">
        <v>0</v>
      </c>
      <c r="E323">
        <v>18076</v>
      </c>
      <c r="F323">
        <v>18076</v>
      </c>
      <c r="G323" t="s">
        <v>22</v>
      </c>
      <c r="H323" t="s">
        <v>23</v>
      </c>
      <c r="I323" t="s">
        <v>23</v>
      </c>
    </row>
    <row r="324" spans="1:9" x14ac:dyDescent="0.3">
      <c r="A324" t="s">
        <v>4</v>
      </c>
      <c r="B324" s="1">
        <v>46005</v>
      </c>
      <c r="C324" t="s">
        <v>17</v>
      </c>
      <c r="D324">
        <v>6351</v>
      </c>
      <c r="E324">
        <v>0</v>
      </c>
      <c r="F324">
        <v>-6351</v>
      </c>
      <c r="G324" t="s">
        <v>17</v>
      </c>
      <c r="H324" t="s">
        <v>18</v>
      </c>
      <c r="I324" t="s">
        <v>12</v>
      </c>
    </row>
    <row r="325" spans="1:9" x14ac:dyDescent="0.3">
      <c r="A325" t="s">
        <v>9</v>
      </c>
      <c r="B325" s="1">
        <v>46006</v>
      </c>
      <c r="C325" t="s">
        <v>15</v>
      </c>
      <c r="D325">
        <v>4861</v>
      </c>
      <c r="E325">
        <v>0</v>
      </c>
      <c r="F325">
        <v>-4861</v>
      </c>
      <c r="G325" t="s">
        <v>15</v>
      </c>
      <c r="H325" t="s">
        <v>16</v>
      </c>
      <c r="I325" t="s">
        <v>12</v>
      </c>
    </row>
    <row r="326" spans="1:9" x14ac:dyDescent="0.3">
      <c r="A326" t="s">
        <v>4</v>
      </c>
      <c r="B326" s="1">
        <v>46007</v>
      </c>
      <c r="C326" t="s">
        <v>26</v>
      </c>
      <c r="D326">
        <v>3141</v>
      </c>
      <c r="E326">
        <v>0</v>
      </c>
      <c r="F326">
        <v>-3141</v>
      </c>
      <c r="G326" t="s">
        <v>26</v>
      </c>
      <c r="H326" t="s">
        <v>18</v>
      </c>
      <c r="I326" t="s">
        <v>12</v>
      </c>
    </row>
    <row r="327" spans="1:9" x14ac:dyDescent="0.3">
      <c r="A327" t="s">
        <v>4</v>
      </c>
      <c r="B327" s="1">
        <v>46007</v>
      </c>
      <c r="C327" t="s">
        <v>25</v>
      </c>
      <c r="D327">
        <v>0</v>
      </c>
      <c r="E327">
        <v>38810</v>
      </c>
      <c r="F327">
        <v>38810</v>
      </c>
      <c r="G327" t="s">
        <v>25</v>
      </c>
      <c r="H327" t="s">
        <v>23</v>
      </c>
      <c r="I327" t="s">
        <v>23</v>
      </c>
    </row>
    <row r="328" spans="1:9" x14ac:dyDescent="0.3">
      <c r="A328" t="s">
        <v>4</v>
      </c>
      <c r="B328" s="1">
        <v>46007</v>
      </c>
      <c r="C328" t="s">
        <v>27</v>
      </c>
      <c r="D328">
        <v>1183</v>
      </c>
      <c r="E328">
        <v>0</v>
      </c>
      <c r="F328">
        <v>-1183</v>
      </c>
      <c r="G328" t="s">
        <v>27</v>
      </c>
      <c r="H328" t="s">
        <v>11</v>
      </c>
      <c r="I328" t="s">
        <v>12</v>
      </c>
    </row>
    <row r="329" spans="1:9" x14ac:dyDescent="0.3">
      <c r="A329" t="s">
        <v>9</v>
      </c>
      <c r="B329" s="1">
        <v>46008</v>
      </c>
      <c r="C329" t="s">
        <v>15</v>
      </c>
      <c r="D329">
        <v>5378</v>
      </c>
      <c r="E329">
        <v>0</v>
      </c>
      <c r="F329">
        <v>-5378</v>
      </c>
      <c r="G329" t="s">
        <v>15</v>
      </c>
      <c r="H329" t="s">
        <v>16</v>
      </c>
      <c r="I329" t="s">
        <v>12</v>
      </c>
    </row>
    <row r="330" spans="1:9" x14ac:dyDescent="0.3">
      <c r="A330" t="s">
        <v>9</v>
      </c>
      <c r="B330" s="1">
        <v>46008</v>
      </c>
      <c r="C330" t="s">
        <v>25</v>
      </c>
      <c r="D330">
        <v>0</v>
      </c>
      <c r="E330">
        <v>49182</v>
      </c>
      <c r="F330">
        <v>49182</v>
      </c>
      <c r="G330" t="s">
        <v>25</v>
      </c>
      <c r="H330" t="s">
        <v>23</v>
      </c>
      <c r="I330" t="s">
        <v>23</v>
      </c>
    </row>
    <row r="331" spans="1:9" x14ac:dyDescent="0.3">
      <c r="A331" t="s">
        <v>9</v>
      </c>
      <c r="B331" s="1">
        <v>46008</v>
      </c>
      <c r="C331" t="s">
        <v>19</v>
      </c>
      <c r="D331">
        <v>5940</v>
      </c>
      <c r="E331">
        <v>0</v>
      </c>
      <c r="F331">
        <v>-5940</v>
      </c>
      <c r="G331" t="s">
        <v>19</v>
      </c>
      <c r="H331" t="s">
        <v>16</v>
      </c>
      <c r="I331" t="s">
        <v>12</v>
      </c>
    </row>
    <row r="332" spans="1:9" x14ac:dyDescent="0.3">
      <c r="A332" t="s">
        <v>4</v>
      </c>
      <c r="B332" s="1">
        <v>46009</v>
      </c>
      <c r="C332" t="s">
        <v>27</v>
      </c>
      <c r="D332">
        <v>5942</v>
      </c>
      <c r="E332">
        <v>0</v>
      </c>
      <c r="F332">
        <v>-5942</v>
      </c>
      <c r="G332" t="s">
        <v>27</v>
      </c>
      <c r="H332" t="s">
        <v>11</v>
      </c>
      <c r="I332" t="s">
        <v>12</v>
      </c>
    </row>
    <row r="333" spans="1:9" x14ac:dyDescent="0.3">
      <c r="A333" t="s">
        <v>4</v>
      </c>
      <c r="B333" s="1">
        <v>46009</v>
      </c>
      <c r="C333" t="s">
        <v>20</v>
      </c>
      <c r="D333">
        <v>5664</v>
      </c>
      <c r="E333">
        <v>0</v>
      </c>
      <c r="F333">
        <v>-5664</v>
      </c>
      <c r="G333" t="s">
        <v>20</v>
      </c>
      <c r="H333" t="s">
        <v>21</v>
      </c>
      <c r="I333" t="s">
        <v>12</v>
      </c>
    </row>
    <row r="334" spans="1:9" x14ac:dyDescent="0.3">
      <c r="A334" t="s">
        <v>9</v>
      </c>
      <c r="B334" s="1">
        <v>46009</v>
      </c>
      <c r="C334" t="s">
        <v>20</v>
      </c>
      <c r="D334">
        <v>424</v>
      </c>
      <c r="E334">
        <v>0</v>
      </c>
      <c r="F334">
        <v>-424</v>
      </c>
      <c r="G334" t="s">
        <v>20</v>
      </c>
      <c r="H334" t="s">
        <v>21</v>
      </c>
      <c r="I334" t="s">
        <v>12</v>
      </c>
    </row>
    <row r="335" spans="1:9" x14ac:dyDescent="0.3">
      <c r="A335" t="s">
        <v>4</v>
      </c>
      <c r="B335" s="1">
        <v>46010</v>
      </c>
      <c r="C335" t="s">
        <v>13</v>
      </c>
      <c r="D335">
        <v>3243</v>
      </c>
      <c r="E335">
        <v>0</v>
      </c>
      <c r="F335">
        <v>-3243</v>
      </c>
      <c r="G335" t="s">
        <v>13</v>
      </c>
      <c r="H335" t="s">
        <v>14</v>
      </c>
      <c r="I335" t="s">
        <v>12</v>
      </c>
    </row>
    <row r="336" spans="1:9" x14ac:dyDescent="0.3">
      <c r="A336" t="s">
        <v>4</v>
      </c>
      <c r="B336" s="1">
        <v>46010</v>
      </c>
      <c r="C336" t="s">
        <v>25</v>
      </c>
      <c r="D336">
        <v>0</v>
      </c>
      <c r="E336">
        <v>27255</v>
      </c>
      <c r="F336">
        <v>27255</v>
      </c>
      <c r="G336" t="s">
        <v>25</v>
      </c>
      <c r="H336" t="s">
        <v>23</v>
      </c>
      <c r="I336" t="s">
        <v>23</v>
      </c>
    </row>
    <row r="337" spans="1:9" x14ac:dyDescent="0.3">
      <c r="A337" t="s">
        <v>4</v>
      </c>
      <c r="B337" s="1">
        <v>46011</v>
      </c>
      <c r="C337" t="s">
        <v>13</v>
      </c>
      <c r="D337">
        <v>5970</v>
      </c>
      <c r="E337">
        <v>0</v>
      </c>
      <c r="F337">
        <v>-5970</v>
      </c>
      <c r="G337" t="s">
        <v>13</v>
      </c>
      <c r="H337" t="s">
        <v>14</v>
      </c>
      <c r="I337" t="s">
        <v>12</v>
      </c>
    </row>
    <row r="338" spans="1:9" x14ac:dyDescent="0.3">
      <c r="A338" t="s">
        <v>9</v>
      </c>
      <c r="B338" s="1">
        <v>46012</v>
      </c>
      <c r="C338" t="s">
        <v>26</v>
      </c>
      <c r="D338">
        <v>742</v>
      </c>
      <c r="E338">
        <v>0</v>
      </c>
      <c r="F338">
        <v>-742</v>
      </c>
      <c r="G338" t="s">
        <v>26</v>
      </c>
      <c r="H338" t="s">
        <v>18</v>
      </c>
      <c r="I338" t="s">
        <v>12</v>
      </c>
    </row>
    <row r="339" spans="1:9" x14ac:dyDescent="0.3">
      <c r="A339" t="s">
        <v>9</v>
      </c>
      <c r="B339" s="1">
        <v>46013</v>
      </c>
      <c r="C339" t="s">
        <v>27</v>
      </c>
      <c r="D339">
        <v>6837</v>
      </c>
      <c r="E339">
        <v>0</v>
      </c>
      <c r="F339">
        <v>-6837</v>
      </c>
      <c r="G339" t="s">
        <v>27</v>
      </c>
      <c r="H339" t="s">
        <v>11</v>
      </c>
      <c r="I339" t="s">
        <v>12</v>
      </c>
    </row>
    <row r="340" spans="1:9" x14ac:dyDescent="0.3">
      <c r="A340" t="s">
        <v>9</v>
      </c>
      <c r="B340" s="1">
        <v>46013</v>
      </c>
      <c r="C340" t="s">
        <v>13</v>
      </c>
      <c r="D340">
        <v>6068</v>
      </c>
      <c r="E340">
        <v>0</v>
      </c>
      <c r="F340">
        <v>-6068</v>
      </c>
      <c r="G340" t="s">
        <v>13</v>
      </c>
      <c r="H340" t="s">
        <v>14</v>
      </c>
      <c r="I340" t="s">
        <v>12</v>
      </c>
    </row>
    <row r="341" spans="1:9" x14ac:dyDescent="0.3">
      <c r="A341" t="s">
        <v>4</v>
      </c>
      <c r="B341" s="1">
        <v>46014</v>
      </c>
      <c r="C341" t="s">
        <v>15</v>
      </c>
      <c r="D341">
        <v>6816</v>
      </c>
      <c r="E341">
        <v>0</v>
      </c>
      <c r="F341">
        <v>-6816</v>
      </c>
      <c r="G341" t="s">
        <v>15</v>
      </c>
      <c r="H341" t="s">
        <v>16</v>
      </c>
      <c r="I341" t="s">
        <v>12</v>
      </c>
    </row>
    <row r="342" spans="1:9" x14ac:dyDescent="0.3">
      <c r="A342" t="s">
        <v>4</v>
      </c>
      <c r="B342" s="1">
        <v>46015</v>
      </c>
      <c r="C342" t="s">
        <v>27</v>
      </c>
      <c r="D342">
        <v>1419</v>
      </c>
      <c r="E342">
        <v>0</v>
      </c>
      <c r="F342">
        <v>-1419</v>
      </c>
      <c r="G342" t="s">
        <v>27</v>
      </c>
      <c r="H342" t="s">
        <v>11</v>
      </c>
      <c r="I342" t="s">
        <v>12</v>
      </c>
    </row>
    <row r="343" spans="1:9" x14ac:dyDescent="0.3">
      <c r="A343" t="s">
        <v>9</v>
      </c>
      <c r="B343" s="1">
        <v>46015</v>
      </c>
      <c r="C343" t="s">
        <v>10</v>
      </c>
      <c r="D343">
        <v>4566</v>
      </c>
      <c r="E343">
        <v>0</v>
      </c>
      <c r="F343">
        <v>-4566</v>
      </c>
      <c r="G343" t="s">
        <v>10</v>
      </c>
      <c r="H343" t="s">
        <v>11</v>
      </c>
      <c r="I343" t="s">
        <v>12</v>
      </c>
    </row>
    <row r="344" spans="1:9" x14ac:dyDescent="0.3">
      <c r="A344" t="s">
        <v>9</v>
      </c>
      <c r="B344" s="1">
        <v>46016</v>
      </c>
      <c r="C344" t="s">
        <v>10</v>
      </c>
      <c r="D344">
        <v>4279</v>
      </c>
      <c r="E344">
        <v>0</v>
      </c>
      <c r="F344">
        <v>-4279</v>
      </c>
      <c r="G344" t="s">
        <v>10</v>
      </c>
      <c r="H344" t="s">
        <v>11</v>
      </c>
      <c r="I344" t="s">
        <v>12</v>
      </c>
    </row>
    <row r="345" spans="1:9" x14ac:dyDescent="0.3">
      <c r="A345" t="s">
        <v>9</v>
      </c>
      <c r="B345" s="1">
        <v>46016</v>
      </c>
      <c r="C345" t="s">
        <v>26</v>
      </c>
      <c r="D345">
        <v>472</v>
      </c>
      <c r="E345">
        <v>0</v>
      </c>
      <c r="F345">
        <v>-472</v>
      </c>
      <c r="G345" t="s">
        <v>26</v>
      </c>
      <c r="H345" t="s">
        <v>18</v>
      </c>
      <c r="I345" t="s">
        <v>12</v>
      </c>
    </row>
    <row r="346" spans="1:9" x14ac:dyDescent="0.3">
      <c r="A346" t="s">
        <v>4</v>
      </c>
      <c r="B346" s="1">
        <v>46016</v>
      </c>
      <c r="C346" t="s">
        <v>10</v>
      </c>
      <c r="D346">
        <v>6271</v>
      </c>
      <c r="E346">
        <v>0</v>
      </c>
      <c r="F346">
        <v>-6271</v>
      </c>
      <c r="G346" t="s">
        <v>10</v>
      </c>
      <c r="H346" t="s">
        <v>11</v>
      </c>
      <c r="I346" t="s">
        <v>12</v>
      </c>
    </row>
    <row r="347" spans="1:9" x14ac:dyDescent="0.3">
      <c r="A347" t="s">
        <v>9</v>
      </c>
      <c r="B347" s="1">
        <v>46017</v>
      </c>
      <c r="C347" t="s">
        <v>10</v>
      </c>
      <c r="D347">
        <v>2860</v>
      </c>
      <c r="E347">
        <v>0</v>
      </c>
      <c r="F347">
        <v>-2860</v>
      </c>
      <c r="G347" t="s">
        <v>10</v>
      </c>
      <c r="H347" t="s">
        <v>11</v>
      </c>
      <c r="I347" t="s">
        <v>12</v>
      </c>
    </row>
    <row r="348" spans="1:9" x14ac:dyDescent="0.3">
      <c r="A348" t="s">
        <v>4</v>
      </c>
      <c r="B348" s="1">
        <v>46017</v>
      </c>
      <c r="C348" t="s">
        <v>27</v>
      </c>
      <c r="D348">
        <v>1472</v>
      </c>
      <c r="E348">
        <v>0</v>
      </c>
      <c r="F348">
        <v>-1472</v>
      </c>
      <c r="G348" t="s">
        <v>27</v>
      </c>
      <c r="H348" t="s">
        <v>11</v>
      </c>
      <c r="I348" t="s">
        <v>12</v>
      </c>
    </row>
    <row r="349" spans="1:9" x14ac:dyDescent="0.3">
      <c r="A349" t="s">
        <v>4</v>
      </c>
      <c r="B349" s="1">
        <v>46018</v>
      </c>
      <c r="C349" t="s">
        <v>15</v>
      </c>
      <c r="D349">
        <v>5315</v>
      </c>
      <c r="E349">
        <v>0</v>
      </c>
      <c r="F349">
        <v>-5315</v>
      </c>
      <c r="G349" t="s">
        <v>15</v>
      </c>
      <c r="H349" t="s">
        <v>16</v>
      </c>
      <c r="I349" t="s">
        <v>12</v>
      </c>
    </row>
    <row r="350" spans="1:9" x14ac:dyDescent="0.3">
      <c r="A350" t="s">
        <v>9</v>
      </c>
      <c r="B350" s="1">
        <v>46018</v>
      </c>
      <c r="C350" t="s">
        <v>27</v>
      </c>
      <c r="D350">
        <v>7783</v>
      </c>
      <c r="E350">
        <v>0</v>
      </c>
      <c r="F350">
        <v>-7783</v>
      </c>
      <c r="G350" t="s">
        <v>27</v>
      </c>
      <c r="H350" t="s">
        <v>11</v>
      </c>
      <c r="I350" t="s">
        <v>12</v>
      </c>
    </row>
    <row r="351" spans="1:9" x14ac:dyDescent="0.3">
      <c r="A351" t="s">
        <v>4</v>
      </c>
      <c r="B351" s="1">
        <v>46019</v>
      </c>
      <c r="C351" t="s">
        <v>22</v>
      </c>
      <c r="D351">
        <v>0</v>
      </c>
      <c r="E351">
        <v>11897</v>
      </c>
      <c r="F351">
        <v>11897</v>
      </c>
      <c r="G351" t="s">
        <v>22</v>
      </c>
      <c r="H351" t="s">
        <v>23</v>
      </c>
      <c r="I351" t="s">
        <v>23</v>
      </c>
    </row>
    <row r="352" spans="1:9" x14ac:dyDescent="0.3">
      <c r="A352" t="s">
        <v>4</v>
      </c>
      <c r="B352" s="1">
        <v>46019</v>
      </c>
      <c r="C352" t="s">
        <v>25</v>
      </c>
      <c r="D352">
        <v>0</v>
      </c>
      <c r="E352">
        <v>35344</v>
      </c>
      <c r="F352">
        <v>35344</v>
      </c>
      <c r="G352" t="s">
        <v>25</v>
      </c>
      <c r="H352" t="s">
        <v>23</v>
      </c>
      <c r="I352" t="s">
        <v>23</v>
      </c>
    </row>
    <row r="353" spans="1:9" x14ac:dyDescent="0.3">
      <c r="A353" t="s">
        <v>9</v>
      </c>
      <c r="B353" s="1">
        <v>46019</v>
      </c>
      <c r="C353" t="s">
        <v>25</v>
      </c>
      <c r="D353">
        <v>0</v>
      </c>
      <c r="E353">
        <v>20777</v>
      </c>
      <c r="F353">
        <v>20777</v>
      </c>
      <c r="G353" t="s">
        <v>25</v>
      </c>
      <c r="H353" t="s">
        <v>23</v>
      </c>
      <c r="I353" t="s">
        <v>23</v>
      </c>
    </row>
    <row r="354" spans="1:9" x14ac:dyDescent="0.3">
      <c r="A354" t="s">
        <v>9</v>
      </c>
      <c r="B354" s="1">
        <v>46020</v>
      </c>
      <c r="C354" t="s">
        <v>26</v>
      </c>
      <c r="D354">
        <v>6220</v>
      </c>
      <c r="E354">
        <v>0</v>
      </c>
      <c r="F354">
        <v>-6220</v>
      </c>
      <c r="G354" t="s">
        <v>26</v>
      </c>
      <c r="H354" t="s">
        <v>18</v>
      </c>
      <c r="I354" t="s">
        <v>12</v>
      </c>
    </row>
    <row r="355" spans="1:9" x14ac:dyDescent="0.3">
      <c r="A355" t="s">
        <v>4</v>
      </c>
      <c r="B355" s="1">
        <v>46020</v>
      </c>
      <c r="C355" t="s">
        <v>19</v>
      </c>
      <c r="D355">
        <v>5599</v>
      </c>
      <c r="E355">
        <v>0</v>
      </c>
      <c r="F355">
        <v>-5599</v>
      </c>
      <c r="G355" t="s">
        <v>19</v>
      </c>
      <c r="H355" t="s">
        <v>16</v>
      </c>
      <c r="I355" t="s">
        <v>12</v>
      </c>
    </row>
    <row r="356" spans="1:9" x14ac:dyDescent="0.3">
      <c r="A356" t="s">
        <v>4</v>
      </c>
      <c r="B356" s="1">
        <v>46021</v>
      </c>
      <c r="C356" t="s">
        <v>10</v>
      </c>
      <c r="D356">
        <v>2153</v>
      </c>
      <c r="E356">
        <v>0</v>
      </c>
      <c r="F356">
        <v>-2153</v>
      </c>
      <c r="G356" t="s">
        <v>10</v>
      </c>
      <c r="H356" t="s">
        <v>11</v>
      </c>
      <c r="I356" t="s">
        <v>12</v>
      </c>
    </row>
    <row r="357" spans="1:9" x14ac:dyDescent="0.3">
      <c r="A357" t="s">
        <v>9</v>
      </c>
      <c r="B357" s="1">
        <v>46021</v>
      </c>
      <c r="C357" t="s">
        <v>15</v>
      </c>
      <c r="D357">
        <v>2510</v>
      </c>
      <c r="E357">
        <v>0</v>
      </c>
      <c r="F357">
        <v>-2510</v>
      </c>
      <c r="G357" t="s">
        <v>15</v>
      </c>
      <c r="H357" t="s">
        <v>16</v>
      </c>
      <c r="I357" t="s">
        <v>12</v>
      </c>
    </row>
    <row r="358" spans="1:9" x14ac:dyDescent="0.3">
      <c r="A358" t="s">
        <v>4</v>
      </c>
      <c r="B358" s="1">
        <v>46022</v>
      </c>
      <c r="C358" t="s">
        <v>13</v>
      </c>
      <c r="D358">
        <v>4786</v>
      </c>
      <c r="E358">
        <v>0</v>
      </c>
      <c r="F358">
        <v>-4786</v>
      </c>
      <c r="G358" t="s">
        <v>13</v>
      </c>
      <c r="H358" t="s">
        <v>14</v>
      </c>
      <c r="I358" t="s">
        <v>12</v>
      </c>
    </row>
    <row r="359" spans="1:9" x14ac:dyDescent="0.3">
      <c r="A359" t="s">
        <v>4</v>
      </c>
      <c r="B359" s="1">
        <v>46023</v>
      </c>
      <c r="C359" t="s">
        <v>20</v>
      </c>
      <c r="D359">
        <v>2404</v>
      </c>
      <c r="E359">
        <v>0</v>
      </c>
      <c r="F359">
        <v>-2404</v>
      </c>
      <c r="G359" t="s">
        <v>20</v>
      </c>
      <c r="H359" t="s">
        <v>21</v>
      </c>
      <c r="I359" t="s">
        <v>12</v>
      </c>
    </row>
    <row r="360" spans="1:9" x14ac:dyDescent="0.3">
      <c r="A360" t="s">
        <v>4</v>
      </c>
      <c r="B360" s="1">
        <v>46023</v>
      </c>
      <c r="C360" t="s">
        <v>13</v>
      </c>
      <c r="D360">
        <v>7300</v>
      </c>
      <c r="E360">
        <v>0</v>
      </c>
      <c r="F360">
        <v>-7300</v>
      </c>
      <c r="G360" t="s">
        <v>13</v>
      </c>
      <c r="H360" t="s">
        <v>14</v>
      </c>
      <c r="I360" t="s">
        <v>12</v>
      </c>
    </row>
    <row r="361" spans="1:9" x14ac:dyDescent="0.3">
      <c r="A361" t="s">
        <v>9</v>
      </c>
      <c r="B361" s="1">
        <v>46023</v>
      </c>
      <c r="C361" t="s">
        <v>25</v>
      </c>
      <c r="D361">
        <v>0</v>
      </c>
      <c r="E361">
        <v>44903</v>
      </c>
      <c r="F361">
        <v>44903</v>
      </c>
      <c r="G361" t="s">
        <v>25</v>
      </c>
      <c r="H361" t="s">
        <v>23</v>
      </c>
      <c r="I361" t="s">
        <v>23</v>
      </c>
    </row>
    <row r="362" spans="1:9" x14ac:dyDescent="0.3">
      <c r="A362" t="s">
        <v>9</v>
      </c>
      <c r="B362" s="1">
        <v>46024</v>
      </c>
      <c r="C362" t="s">
        <v>20</v>
      </c>
      <c r="D362">
        <v>2713</v>
      </c>
      <c r="E362">
        <v>0</v>
      </c>
      <c r="F362">
        <v>-2713</v>
      </c>
      <c r="G362" t="s">
        <v>20</v>
      </c>
      <c r="H362" t="s">
        <v>21</v>
      </c>
      <c r="I362" t="s">
        <v>12</v>
      </c>
    </row>
    <row r="363" spans="1:9" x14ac:dyDescent="0.3">
      <c r="A363" t="s">
        <v>4</v>
      </c>
      <c r="B363" s="1">
        <v>46024</v>
      </c>
      <c r="C363" t="s">
        <v>24</v>
      </c>
      <c r="D363">
        <v>0</v>
      </c>
      <c r="E363">
        <v>41692</v>
      </c>
      <c r="F363">
        <v>41692</v>
      </c>
      <c r="G363" t="s">
        <v>24</v>
      </c>
      <c r="H363" t="s">
        <v>23</v>
      </c>
      <c r="I363" t="s">
        <v>23</v>
      </c>
    </row>
    <row r="364" spans="1:9" x14ac:dyDescent="0.3">
      <c r="A364" t="s">
        <v>4</v>
      </c>
      <c r="B364" s="1">
        <v>46024</v>
      </c>
      <c r="C364" t="s">
        <v>25</v>
      </c>
      <c r="D364">
        <v>0</v>
      </c>
      <c r="E364">
        <v>47667</v>
      </c>
      <c r="F364">
        <v>47667</v>
      </c>
      <c r="G364" t="s">
        <v>25</v>
      </c>
      <c r="H364" t="s">
        <v>23</v>
      </c>
      <c r="I364" t="s">
        <v>23</v>
      </c>
    </row>
    <row r="365" spans="1:9" x14ac:dyDescent="0.3">
      <c r="A365" t="s">
        <v>4</v>
      </c>
      <c r="B365" s="1">
        <v>46025</v>
      </c>
      <c r="C365" t="s">
        <v>20</v>
      </c>
      <c r="D365">
        <v>5269</v>
      </c>
      <c r="E365">
        <v>0</v>
      </c>
      <c r="F365">
        <v>-5269</v>
      </c>
      <c r="G365" t="s">
        <v>20</v>
      </c>
      <c r="H365" t="s">
        <v>21</v>
      </c>
      <c r="I365" t="s">
        <v>12</v>
      </c>
    </row>
    <row r="366" spans="1:9" x14ac:dyDescent="0.3">
      <c r="A366" t="s">
        <v>9</v>
      </c>
      <c r="B366" s="1">
        <v>46025</v>
      </c>
      <c r="C366" t="s">
        <v>27</v>
      </c>
      <c r="D366">
        <v>905</v>
      </c>
      <c r="E366">
        <v>0</v>
      </c>
      <c r="F366">
        <v>-905</v>
      </c>
      <c r="G366" t="s">
        <v>27</v>
      </c>
      <c r="H366" t="s">
        <v>11</v>
      </c>
      <c r="I366" t="s">
        <v>12</v>
      </c>
    </row>
    <row r="367" spans="1:9" x14ac:dyDescent="0.3">
      <c r="A367" t="s">
        <v>4</v>
      </c>
      <c r="B367" s="1">
        <v>46026</v>
      </c>
      <c r="C367" t="s">
        <v>17</v>
      </c>
      <c r="D367">
        <v>6256</v>
      </c>
      <c r="E367">
        <v>0</v>
      </c>
      <c r="F367">
        <v>-6256</v>
      </c>
      <c r="G367" t="s">
        <v>17</v>
      </c>
      <c r="H367" t="s">
        <v>18</v>
      </c>
      <c r="I367" t="s">
        <v>12</v>
      </c>
    </row>
    <row r="368" spans="1:9" x14ac:dyDescent="0.3">
      <c r="A368" t="s">
        <v>9</v>
      </c>
      <c r="B368" s="1">
        <v>46027</v>
      </c>
      <c r="C368" t="s">
        <v>26</v>
      </c>
      <c r="D368">
        <v>5321</v>
      </c>
      <c r="E368">
        <v>0</v>
      </c>
      <c r="F368">
        <v>-5321</v>
      </c>
      <c r="G368" t="s">
        <v>26</v>
      </c>
      <c r="H368" t="s">
        <v>18</v>
      </c>
      <c r="I368" t="s">
        <v>12</v>
      </c>
    </row>
    <row r="369" spans="1:9" x14ac:dyDescent="0.3">
      <c r="A369" t="s">
        <v>4</v>
      </c>
      <c r="B369" s="1">
        <v>46027</v>
      </c>
      <c r="C369" t="s">
        <v>15</v>
      </c>
      <c r="D369">
        <v>1646</v>
      </c>
      <c r="E369">
        <v>0</v>
      </c>
      <c r="F369">
        <v>-1646</v>
      </c>
      <c r="G369" t="s">
        <v>15</v>
      </c>
      <c r="H369" t="s">
        <v>16</v>
      </c>
      <c r="I369" t="s">
        <v>12</v>
      </c>
    </row>
    <row r="370" spans="1:9" x14ac:dyDescent="0.3">
      <c r="A370" t="s">
        <v>9</v>
      </c>
      <c r="B370" s="1">
        <v>46027</v>
      </c>
      <c r="C370" t="s">
        <v>19</v>
      </c>
      <c r="D370">
        <v>4544</v>
      </c>
      <c r="E370">
        <v>0</v>
      </c>
      <c r="F370">
        <v>-4544</v>
      </c>
      <c r="G370" t="s">
        <v>19</v>
      </c>
      <c r="H370" t="s">
        <v>16</v>
      </c>
      <c r="I370" t="s">
        <v>12</v>
      </c>
    </row>
    <row r="371" spans="1:9" x14ac:dyDescent="0.3">
      <c r="A371" t="s">
        <v>4</v>
      </c>
      <c r="B371" s="1">
        <v>46028</v>
      </c>
      <c r="C371" t="s">
        <v>10</v>
      </c>
      <c r="D371">
        <v>3017</v>
      </c>
      <c r="E371">
        <v>0</v>
      </c>
      <c r="F371">
        <v>-3017</v>
      </c>
      <c r="G371" t="s">
        <v>10</v>
      </c>
      <c r="H371" t="s">
        <v>11</v>
      </c>
      <c r="I371" t="s">
        <v>12</v>
      </c>
    </row>
    <row r="372" spans="1:9" x14ac:dyDescent="0.3">
      <c r="A372" t="s">
        <v>9</v>
      </c>
      <c r="B372" s="1">
        <v>46029</v>
      </c>
      <c r="C372" t="s">
        <v>10</v>
      </c>
      <c r="D372">
        <v>7020</v>
      </c>
      <c r="E372">
        <v>0</v>
      </c>
      <c r="F372">
        <v>-7020</v>
      </c>
      <c r="G372" t="s">
        <v>10</v>
      </c>
      <c r="H372" t="s">
        <v>11</v>
      </c>
      <c r="I372" t="s">
        <v>12</v>
      </c>
    </row>
    <row r="373" spans="1:9" x14ac:dyDescent="0.3">
      <c r="A373" t="s">
        <v>9</v>
      </c>
      <c r="B373" s="1">
        <v>46029</v>
      </c>
      <c r="C373" t="s">
        <v>17</v>
      </c>
      <c r="D373">
        <v>397</v>
      </c>
      <c r="E373">
        <v>0</v>
      </c>
      <c r="F373">
        <v>-397</v>
      </c>
      <c r="G373" t="s">
        <v>17</v>
      </c>
      <c r="H373" t="s">
        <v>18</v>
      </c>
      <c r="I373" t="s">
        <v>12</v>
      </c>
    </row>
    <row r="374" spans="1:9" x14ac:dyDescent="0.3">
      <c r="A374" t="s">
        <v>4</v>
      </c>
      <c r="B374" s="1">
        <v>46030</v>
      </c>
      <c r="C374" t="s">
        <v>26</v>
      </c>
      <c r="D374">
        <v>1157</v>
      </c>
      <c r="E374">
        <v>0</v>
      </c>
      <c r="F374">
        <v>-1157</v>
      </c>
      <c r="G374" t="s">
        <v>26</v>
      </c>
      <c r="H374" t="s">
        <v>18</v>
      </c>
      <c r="I374" t="s">
        <v>12</v>
      </c>
    </row>
    <row r="375" spans="1:9" x14ac:dyDescent="0.3">
      <c r="A375" t="s">
        <v>4</v>
      </c>
      <c r="B375" s="1">
        <v>46030</v>
      </c>
      <c r="C375" t="s">
        <v>20</v>
      </c>
      <c r="D375">
        <v>820</v>
      </c>
      <c r="E375">
        <v>0</v>
      </c>
      <c r="F375">
        <v>-820</v>
      </c>
      <c r="G375" t="s">
        <v>20</v>
      </c>
      <c r="H375" t="s">
        <v>21</v>
      </c>
      <c r="I375" t="s">
        <v>12</v>
      </c>
    </row>
    <row r="376" spans="1:9" x14ac:dyDescent="0.3">
      <c r="A376" t="s">
        <v>9</v>
      </c>
      <c r="B376" s="1">
        <v>46030</v>
      </c>
      <c r="C376" t="s">
        <v>24</v>
      </c>
      <c r="D376">
        <v>0</v>
      </c>
      <c r="E376">
        <v>10136</v>
      </c>
      <c r="F376">
        <v>10136</v>
      </c>
      <c r="G376" t="s">
        <v>24</v>
      </c>
      <c r="H376" t="s">
        <v>23</v>
      </c>
      <c r="I376" t="s">
        <v>23</v>
      </c>
    </row>
    <row r="377" spans="1:9" x14ac:dyDescent="0.3">
      <c r="A377" t="s">
        <v>9</v>
      </c>
      <c r="B377" s="1">
        <v>46031</v>
      </c>
      <c r="C377" t="s">
        <v>20</v>
      </c>
      <c r="D377">
        <v>687</v>
      </c>
      <c r="E377">
        <v>0</v>
      </c>
      <c r="F377">
        <v>-687</v>
      </c>
      <c r="G377" t="s">
        <v>20</v>
      </c>
      <c r="H377" t="s">
        <v>21</v>
      </c>
      <c r="I377" t="s">
        <v>12</v>
      </c>
    </row>
    <row r="378" spans="1:9" x14ac:dyDescent="0.3">
      <c r="A378" t="s">
        <v>4</v>
      </c>
      <c r="B378" s="1">
        <v>46032</v>
      </c>
      <c r="C378" t="s">
        <v>17</v>
      </c>
      <c r="D378">
        <v>6437</v>
      </c>
      <c r="E378">
        <v>0</v>
      </c>
      <c r="F378">
        <v>-6437</v>
      </c>
      <c r="G378" t="s">
        <v>17</v>
      </c>
      <c r="H378" t="s">
        <v>18</v>
      </c>
      <c r="I378" t="s">
        <v>12</v>
      </c>
    </row>
    <row r="379" spans="1:9" x14ac:dyDescent="0.3">
      <c r="A379" t="s">
        <v>9</v>
      </c>
      <c r="B379" s="1">
        <v>46032</v>
      </c>
      <c r="C379" t="s">
        <v>27</v>
      </c>
      <c r="D379">
        <v>4712</v>
      </c>
      <c r="E379">
        <v>0</v>
      </c>
      <c r="F379">
        <v>-4712</v>
      </c>
      <c r="G379" t="s">
        <v>27</v>
      </c>
      <c r="H379" t="s">
        <v>11</v>
      </c>
      <c r="I379" t="s">
        <v>12</v>
      </c>
    </row>
    <row r="380" spans="1:9" x14ac:dyDescent="0.3">
      <c r="A380" t="s">
        <v>4</v>
      </c>
      <c r="B380" s="1">
        <v>46032</v>
      </c>
      <c r="C380" t="s">
        <v>26</v>
      </c>
      <c r="D380">
        <v>6295</v>
      </c>
      <c r="E380">
        <v>0</v>
      </c>
      <c r="F380">
        <v>-6295</v>
      </c>
      <c r="G380" t="s">
        <v>26</v>
      </c>
      <c r="H380" t="s">
        <v>18</v>
      </c>
      <c r="I380" t="s">
        <v>12</v>
      </c>
    </row>
    <row r="381" spans="1:9" x14ac:dyDescent="0.3">
      <c r="A381" t="s">
        <v>9</v>
      </c>
      <c r="B381" s="1">
        <v>46033</v>
      </c>
      <c r="C381" t="s">
        <v>25</v>
      </c>
      <c r="D381">
        <v>0</v>
      </c>
      <c r="E381">
        <v>37138</v>
      </c>
      <c r="F381">
        <v>37138</v>
      </c>
      <c r="G381" t="s">
        <v>25</v>
      </c>
      <c r="H381" t="s">
        <v>23</v>
      </c>
      <c r="I381" t="s">
        <v>23</v>
      </c>
    </row>
    <row r="382" spans="1:9" x14ac:dyDescent="0.3">
      <c r="A382" t="s">
        <v>9</v>
      </c>
      <c r="B382" s="1">
        <v>46034</v>
      </c>
      <c r="C382" t="s">
        <v>10</v>
      </c>
      <c r="D382">
        <v>7046</v>
      </c>
      <c r="E382">
        <v>0</v>
      </c>
      <c r="F382">
        <v>-7046</v>
      </c>
      <c r="G382" t="s">
        <v>10</v>
      </c>
      <c r="H382" t="s">
        <v>11</v>
      </c>
      <c r="I382" t="s">
        <v>12</v>
      </c>
    </row>
    <row r="383" spans="1:9" x14ac:dyDescent="0.3">
      <c r="A383" t="s">
        <v>9</v>
      </c>
      <c r="B383" s="1">
        <v>46034</v>
      </c>
      <c r="C383" t="s">
        <v>20</v>
      </c>
      <c r="D383">
        <v>4596</v>
      </c>
      <c r="E383">
        <v>0</v>
      </c>
      <c r="F383">
        <v>-4596</v>
      </c>
      <c r="G383" t="s">
        <v>20</v>
      </c>
      <c r="H383" t="s">
        <v>21</v>
      </c>
      <c r="I383" t="s">
        <v>12</v>
      </c>
    </row>
    <row r="384" spans="1:9" x14ac:dyDescent="0.3">
      <c r="A384" t="s">
        <v>4</v>
      </c>
      <c r="B384" s="1">
        <v>46035</v>
      </c>
      <c r="C384" t="s">
        <v>19</v>
      </c>
      <c r="D384">
        <v>393</v>
      </c>
      <c r="E384">
        <v>0</v>
      </c>
      <c r="F384">
        <v>-393</v>
      </c>
      <c r="G384" t="s">
        <v>19</v>
      </c>
      <c r="H384" t="s">
        <v>16</v>
      </c>
      <c r="I384" t="s">
        <v>12</v>
      </c>
    </row>
    <row r="385" spans="1:9" x14ac:dyDescent="0.3">
      <c r="A385" t="s">
        <v>9</v>
      </c>
      <c r="B385" s="1">
        <v>46035</v>
      </c>
      <c r="C385" t="s">
        <v>17</v>
      </c>
      <c r="D385">
        <v>626</v>
      </c>
      <c r="E385">
        <v>0</v>
      </c>
      <c r="F385">
        <v>-626</v>
      </c>
      <c r="G385" t="s">
        <v>17</v>
      </c>
      <c r="H385" t="s">
        <v>18</v>
      </c>
      <c r="I385" t="s">
        <v>12</v>
      </c>
    </row>
    <row r="386" spans="1:9" x14ac:dyDescent="0.3">
      <c r="A386" t="s">
        <v>4</v>
      </c>
      <c r="B386" s="1">
        <v>46035</v>
      </c>
      <c r="C386" t="s">
        <v>13</v>
      </c>
      <c r="D386">
        <v>4702</v>
      </c>
      <c r="E386">
        <v>0</v>
      </c>
      <c r="F386">
        <v>-4702</v>
      </c>
      <c r="G386" t="s">
        <v>13</v>
      </c>
      <c r="H386" t="s">
        <v>14</v>
      </c>
      <c r="I386" t="s">
        <v>12</v>
      </c>
    </row>
    <row r="387" spans="1:9" x14ac:dyDescent="0.3">
      <c r="A387" t="s">
        <v>9</v>
      </c>
      <c r="B387" s="1">
        <v>46036</v>
      </c>
      <c r="C387" t="s">
        <v>15</v>
      </c>
      <c r="D387">
        <v>6482</v>
      </c>
      <c r="E387">
        <v>0</v>
      </c>
      <c r="F387">
        <v>-6482</v>
      </c>
      <c r="G387" t="s">
        <v>15</v>
      </c>
      <c r="H387" t="s">
        <v>16</v>
      </c>
      <c r="I387" t="s">
        <v>12</v>
      </c>
    </row>
    <row r="388" spans="1:9" x14ac:dyDescent="0.3">
      <c r="A388" t="s">
        <v>9</v>
      </c>
      <c r="B388" s="1">
        <v>46036</v>
      </c>
      <c r="C388" t="s">
        <v>17</v>
      </c>
      <c r="D388">
        <v>3845</v>
      </c>
      <c r="E388">
        <v>0</v>
      </c>
      <c r="F388">
        <v>-3845</v>
      </c>
      <c r="G388" t="s">
        <v>17</v>
      </c>
      <c r="H388" t="s">
        <v>18</v>
      </c>
      <c r="I388" t="s">
        <v>12</v>
      </c>
    </row>
    <row r="389" spans="1:9" x14ac:dyDescent="0.3">
      <c r="A389" t="s">
        <v>4</v>
      </c>
      <c r="B389" s="1">
        <v>46037</v>
      </c>
      <c r="C389" t="s">
        <v>27</v>
      </c>
      <c r="D389">
        <v>6374</v>
      </c>
      <c r="E389">
        <v>0</v>
      </c>
      <c r="F389">
        <v>-6374</v>
      </c>
      <c r="G389" t="s">
        <v>27</v>
      </c>
      <c r="H389" t="s">
        <v>11</v>
      </c>
      <c r="I389" t="s">
        <v>12</v>
      </c>
    </row>
    <row r="390" spans="1:9" x14ac:dyDescent="0.3">
      <c r="A390" t="s">
        <v>4</v>
      </c>
      <c r="B390" s="1">
        <v>46037</v>
      </c>
      <c r="C390" t="s">
        <v>13</v>
      </c>
      <c r="D390">
        <v>2777</v>
      </c>
      <c r="E390">
        <v>0</v>
      </c>
      <c r="F390">
        <v>-2777</v>
      </c>
      <c r="G390" t="s">
        <v>13</v>
      </c>
      <c r="H390" t="s">
        <v>14</v>
      </c>
      <c r="I390" t="s">
        <v>12</v>
      </c>
    </row>
    <row r="391" spans="1:9" x14ac:dyDescent="0.3">
      <c r="A391" t="s">
        <v>9</v>
      </c>
      <c r="B391" s="1">
        <v>46037</v>
      </c>
      <c r="C391" t="s">
        <v>27</v>
      </c>
      <c r="D391">
        <v>5728</v>
      </c>
      <c r="E391">
        <v>0</v>
      </c>
      <c r="F391">
        <v>-5728</v>
      </c>
      <c r="G391" t="s">
        <v>27</v>
      </c>
      <c r="H391" t="s">
        <v>11</v>
      </c>
      <c r="I391" t="s">
        <v>12</v>
      </c>
    </row>
    <row r="392" spans="1:9" x14ac:dyDescent="0.3">
      <c r="A392" t="s">
        <v>4</v>
      </c>
      <c r="B392" s="1">
        <v>46038</v>
      </c>
      <c r="C392" t="s">
        <v>15</v>
      </c>
      <c r="D392">
        <v>5763</v>
      </c>
      <c r="E392">
        <v>0</v>
      </c>
      <c r="F392">
        <v>-5763</v>
      </c>
      <c r="G392" t="s">
        <v>15</v>
      </c>
      <c r="H392" t="s">
        <v>16</v>
      </c>
      <c r="I392" t="s">
        <v>12</v>
      </c>
    </row>
    <row r="393" spans="1:9" x14ac:dyDescent="0.3">
      <c r="A393" t="s">
        <v>9</v>
      </c>
      <c r="B393" s="1">
        <v>46039</v>
      </c>
      <c r="C393" t="s">
        <v>26</v>
      </c>
      <c r="D393">
        <v>2022</v>
      </c>
      <c r="E393">
        <v>0</v>
      </c>
      <c r="F393">
        <v>-2022</v>
      </c>
      <c r="G393" t="s">
        <v>26</v>
      </c>
      <c r="H393" t="s">
        <v>18</v>
      </c>
      <c r="I393" t="s">
        <v>12</v>
      </c>
    </row>
    <row r="394" spans="1:9" x14ac:dyDescent="0.3">
      <c r="A394" t="s">
        <v>4</v>
      </c>
      <c r="B394" s="1">
        <v>46039</v>
      </c>
      <c r="C394" t="s">
        <v>27</v>
      </c>
      <c r="D394">
        <v>6262</v>
      </c>
      <c r="E394">
        <v>0</v>
      </c>
      <c r="F394">
        <v>-6262</v>
      </c>
      <c r="G394" t="s">
        <v>27</v>
      </c>
      <c r="H394" t="s">
        <v>11</v>
      </c>
      <c r="I394" t="s">
        <v>12</v>
      </c>
    </row>
    <row r="395" spans="1:9" x14ac:dyDescent="0.3">
      <c r="A395" t="s">
        <v>4</v>
      </c>
      <c r="B395" s="1">
        <v>46039</v>
      </c>
      <c r="C395" t="s">
        <v>22</v>
      </c>
      <c r="D395">
        <v>0</v>
      </c>
      <c r="E395">
        <v>11607</v>
      </c>
      <c r="F395">
        <v>11607</v>
      </c>
      <c r="G395" t="s">
        <v>22</v>
      </c>
      <c r="H395" t="s">
        <v>23</v>
      </c>
      <c r="I395" t="s">
        <v>23</v>
      </c>
    </row>
    <row r="396" spans="1:9" x14ac:dyDescent="0.3">
      <c r="A396" t="s">
        <v>9</v>
      </c>
      <c r="B396" s="1">
        <v>46040</v>
      </c>
      <c r="C396" t="s">
        <v>27</v>
      </c>
      <c r="D396">
        <v>1299</v>
      </c>
      <c r="E396">
        <v>0</v>
      </c>
      <c r="F396">
        <v>-1299</v>
      </c>
      <c r="G396" t="s">
        <v>27</v>
      </c>
      <c r="H396" t="s">
        <v>11</v>
      </c>
      <c r="I396" t="s">
        <v>12</v>
      </c>
    </row>
    <row r="397" spans="1:9" x14ac:dyDescent="0.3">
      <c r="A397" t="s">
        <v>4</v>
      </c>
      <c r="B397" s="1">
        <v>46040</v>
      </c>
      <c r="C397" t="s">
        <v>27</v>
      </c>
      <c r="D397">
        <v>1682</v>
      </c>
      <c r="E397">
        <v>0</v>
      </c>
      <c r="F397">
        <v>-1682</v>
      </c>
      <c r="G397" t="s">
        <v>27</v>
      </c>
      <c r="H397" t="s">
        <v>11</v>
      </c>
      <c r="I397" t="s">
        <v>12</v>
      </c>
    </row>
    <row r="398" spans="1:9" x14ac:dyDescent="0.3">
      <c r="A398" t="s">
        <v>4</v>
      </c>
      <c r="B398" s="1">
        <v>46041</v>
      </c>
      <c r="C398" t="s">
        <v>26</v>
      </c>
      <c r="D398">
        <v>4953</v>
      </c>
      <c r="E398">
        <v>0</v>
      </c>
      <c r="F398">
        <v>-4953</v>
      </c>
      <c r="G398" t="s">
        <v>26</v>
      </c>
      <c r="H398" t="s">
        <v>18</v>
      </c>
      <c r="I398" t="s">
        <v>12</v>
      </c>
    </row>
    <row r="399" spans="1:9" x14ac:dyDescent="0.3">
      <c r="A399" t="s">
        <v>9</v>
      </c>
      <c r="B399" s="1">
        <v>46041</v>
      </c>
      <c r="C399" t="s">
        <v>24</v>
      </c>
      <c r="D399">
        <v>0</v>
      </c>
      <c r="E399">
        <v>43897</v>
      </c>
      <c r="F399">
        <v>43897</v>
      </c>
      <c r="G399" t="s">
        <v>24</v>
      </c>
      <c r="H399" t="s">
        <v>23</v>
      </c>
      <c r="I399" t="s">
        <v>23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F92C5-4D00-42E6-A0D5-0BD48857E321}">
  <dimension ref="L1:N46"/>
  <sheetViews>
    <sheetView showGridLines="0" showRowColHeaders="0" tabSelected="1" zoomScale="80" zoomScaleNormal="80" workbookViewId="0">
      <selection activeCell="R26" sqref="R26"/>
    </sheetView>
  </sheetViews>
  <sheetFormatPr defaultRowHeight="14.4" x14ac:dyDescent="0.3"/>
  <cols>
    <col min="11" max="11" width="3.5546875" customWidth="1"/>
    <col min="12" max="12" width="16.77734375" customWidth="1"/>
    <col min="13" max="13" width="14.21875" customWidth="1"/>
    <col min="14" max="14" width="17.21875" customWidth="1"/>
    <col min="16" max="16" width="6.77734375" customWidth="1"/>
    <col min="17" max="17" width="8.88671875" customWidth="1"/>
    <col min="28" max="37" width="8.88671875" customWidth="1"/>
  </cols>
  <sheetData>
    <row r="1" ht="59.4" customHeight="1" x14ac:dyDescent="0.3"/>
    <row r="26" spans="12:14" ht="15.6" x14ac:dyDescent="0.3">
      <c r="L26" s="11"/>
      <c r="M26" s="11"/>
      <c r="N26" s="11"/>
    </row>
    <row r="28" spans="12:14" ht="15.6" x14ac:dyDescent="0.3">
      <c r="L28" s="9"/>
      <c r="M28" s="10"/>
      <c r="N28" s="6"/>
    </row>
    <row r="29" spans="12:14" ht="15.6" x14ac:dyDescent="0.3">
      <c r="L29" s="9"/>
      <c r="M29" s="10"/>
      <c r="N29" s="6"/>
    </row>
    <row r="30" spans="12:14" ht="15.6" customHeight="1" x14ac:dyDescent="0.3">
      <c r="L30" s="13" t="s">
        <v>44</v>
      </c>
      <c r="M30" s="14"/>
      <c r="N30" s="14"/>
    </row>
    <row r="31" spans="12:14" ht="15.6" customHeight="1" x14ac:dyDescent="0.3">
      <c r="L31" s="14"/>
      <c r="M31" s="14"/>
      <c r="N31" s="14"/>
    </row>
    <row r="32" spans="12:14" ht="15.6" x14ac:dyDescent="0.3">
      <c r="L32" s="9"/>
      <c r="M32" s="10"/>
      <c r="N32" s="6"/>
    </row>
    <row r="33" spans="12:14" ht="15.6" x14ac:dyDescent="0.3">
      <c r="L33" s="7" t="s">
        <v>15</v>
      </c>
      <c r="M33" s="8">
        <v>153149</v>
      </c>
      <c r="N33" s="5">
        <f>M33</f>
        <v>153149</v>
      </c>
    </row>
    <row r="34" spans="12:14" ht="15.6" x14ac:dyDescent="0.3">
      <c r="L34" s="7" t="s">
        <v>13</v>
      </c>
      <c r="M34" s="8">
        <v>150041</v>
      </c>
      <c r="N34" s="5">
        <f t="shared" ref="N34:N37" si="0">M34</f>
        <v>150041</v>
      </c>
    </row>
    <row r="35" spans="12:14" ht="15.6" x14ac:dyDescent="0.3">
      <c r="L35" s="7" t="s">
        <v>20</v>
      </c>
      <c r="M35" s="8">
        <v>143404</v>
      </c>
      <c r="N35" s="5">
        <f t="shared" si="0"/>
        <v>143404</v>
      </c>
    </row>
    <row r="36" spans="12:14" ht="15.6" x14ac:dyDescent="0.3">
      <c r="L36" s="7" t="s">
        <v>17</v>
      </c>
      <c r="M36" s="8">
        <v>130277</v>
      </c>
      <c r="N36" s="5">
        <f t="shared" si="0"/>
        <v>130277</v>
      </c>
    </row>
    <row r="37" spans="12:14" ht="15.6" x14ac:dyDescent="0.3">
      <c r="L37" s="7" t="s">
        <v>27</v>
      </c>
      <c r="M37" s="8">
        <v>120351</v>
      </c>
      <c r="N37" s="5">
        <f t="shared" si="0"/>
        <v>120351</v>
      </c>
    </row>
    <row r="46" spans="12:14" x14ac:dyDescent="0.3">
      <c r="N46" t="s">
        <v>52</v>
      </c>
    </row>
  </sheetData>
  <sheetProtection sheet="1" objects="1" scenarios="1" selectLockedCells="1" pivotTables="0"/>
  <mergeCells count="1">
    <mergeCell ref="L30:N31"/>
  </mergeCells>
  <conditionalFormatting sqref="N28:N29 N32">
    <cfRule type="dataBar" priority="2">
      <dataBar showValue="0">
        <cfvo type="min"/>
        <cfvo type="max"/>
        <color rgb="FF8439BD"/>
      </dataBar>
      <extLst>
        <ext xmlns:x14="http://schemas.microsoft.com/office/spreadsheetml/2009/9/main" uri="{B025F937-C7B1-47D3-B67F-A62EFF666E3E}">
          <x14:id>{87C481B9-45A0-4E60-8C9A-A29074E491E2}</x14:id>
        </ext>
      </extLst>
    </cfRule>
  </conditionalFormatting>
  <conditionalFormatting sqref="N33:N37">
    <cfRule type="dataBar" priority="1">
      <dataBar showValue="0">
        <cfvo type="min"/>
        <cfvo type="max"/>
        <color rgb="FF652C8C"/>
      </dataBar>
      <extLst>
        <ext xmlns:x14="http://schemas.microsoft.com/office/spreadsheetml/2009/9/main" uri="{B025F937-C7B1-47D3-B67F-A62EFF666E3E}">
          <x14:id>{EE8BF700-85F3-49D7-9211-036E1D4AD66E}</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87C481B9-45A0-4E60-8C9A-A29074E491E2}">
            <x14:dataBar minLength="0" maxLength="100" gradient="0">
              <x14:cfvo type="autoMin"/>
              <x14:cfvo type="autoMax"/>
              <x14:negativeFillColor rgb="FFFF0000"/>
              <x14:axisColor rgb="FF000000"/>
            </x14:dataBar>
          </x14:cfRule>
          <xm:sqref>N28:N29 N32</xm:sqref>
        </x14:conditionalFormatting>
        <x14:conditionalFormatting xmlns:xm="http://schemas.microsoft.com/office/excel/2006/main">
          <x14:cfRule type="dataBar" id="{EE8BF700-85F3-49D7-9211-036E1D4AD66E}">
            <x14:dataBar minLength="0" maxLength="100" gradient="0">
              <x14:cfvo type="autoMin"/>
              <x14:cfvo type="autoMax"/>
              <x14:negativeFillColor rgb="FFFF0000"/>
              <x14:axisColor rgb="FF000000"/>
            </x14:dataBar>
          </x14:cfRule>
          <xm:sqref>N33:N37</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D1D0C3-CF90-468E-8657-5BF7340BD9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PT1</vt:lpstr>
      <vt:lpstr>PT2</vt:lpstr>
      <vt:lpstr>TRANSCATIONS</vt:lpstr>
      <vt:lpstr>MAP</vt:lpstr>
      <vt:lpstr>JUNE - PRESENT</vt:lpstr>
      <vt:lpstr>DASHBORAD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Nithya S</dc:creator>
  <cp:lastModifiedBy>Nithya S</cp:lastModifiedBy>
  <dcterms:created xsi:type="dcterms:W3CDTF">2026-01-19T06:42:56Z</dcterms:created>
  <dcterms:modified xsi:type="dcterms:W3CDTF">2026-01-20T08:03:38Z</dcterms:modified>
</cp:coreProperties>
</file>